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93290c276c767585/Desktop/motogo/Planificacion/"/>
    </mc:Choice>
  </mc:AlternateContent>
  <xr:revisionPtr revIDLastSave="2" documentId="11_C4A46FE1E199D6D94E9442D8819BC8AF07816425" xr6:coauthVersionLast="47" xr6:coauthVersionMax="47" xr10:uidLastSave="{CD2EF8EB-311C-4E7D-868B-38E009D5DCFF}"/>
  <bookViews>
    <workbookView xWindow="-108" yWindow="-108" windowWidth="23256" windowHeight="12456" xr2:uid="{00000000-000D-0000-FFFF-FFFF00000000}"/>
  </bookViews>
  <sheets>
    <sheet name="Hoja 1" sheetId="1" r:id="rId1"/>
    <sheet name="EMPLEADOS " sheetId="2" r:id="rId2"/>
    <sheet name="SERVICIOS" sheetId="3" r:id="rId3"/>
  </sheets>
  <calcPr calcId="181029"/>
</workbook>
</file>

<file path=xl/calcChain.xml><?xml version="1.0" encoding="utf-8"?>
<calcChain xmlns="http://schemas.openxmlformats.org/spreadsheetml/2006/main">
  <c r="L14" i="1" l="1"/>
  <c r="L13" i="1"/>
</calcChain>
</file>

<file path=xl/sharedStrings.xml><?xml version="1.0" encoding="utf-8"?>
<sst xmlns="http://schemas.openxmlformats.org/spreadsheetml/2006/main" count="120" uniqueCount="75">
  <si>
    <t>Cuadro Comparativo de Cotizaciones para MOTOGO</t>
  </si>
  <si>
    <t>Presupuestos (a)</t>
  </si>
  <si>
    <t>ROL</t>
  </si>
  <si>
    <t>Computador</t>
  </si>
  <si>
    <t>Importe Total</t>
  </si>
  <si>
    <t xml:space="preserve">Forma de Pago 
 </t>
  </si>
  <si>
    <t>Observaciones 
 (se debe incluir toda aquella característica que no ha sido posible incluir anteriormente)</t>
  </si>
  <si>
    <t>Nº 1</t>
  </si>
  <si>
    <t>Analista</t>
  </si>
  <si>
    <t>LENOVO THINKCENTRE NEO 50Q I5 8GB 256GB + MONITOR 24″ FHD</t>
  </si>
  <si>
    <t>1.919.900</t>
  </si>
  <si>
    <t>contado</t>
  </si>
  <si>
    <t>Procesador: Intel Core i5-13420H
Memoria RAM: 8 GB DDR4 a 3200 MHz
Almacenamiento: SSD M.2 NVMe PCIe de 512 GB</t>
  </si>
  <si>
    <t>Nº2</t>
  </si>
  <si>
    <t>Analista de Software</t>
  </si>
  <si>
    <t>TODO EN UNO LENOVO AMD RYZEN 7-7730U 24GB RAM 512GB SSD 238″ FHD</t>
  </si>
  <si>
    <t>2.379.900</t>
  </si>
  <si>
    <t>Procesador: AMD Ryzen 7 7730U (8 núcleos / 16 hilos, 2.0 GHz base hasta 4.5 GHz turbo, 4 MB L2 + 16 MB L3
Ram: 24GB DDR4
Almacenamiento: 512GB SSD M.2 PCIe 4.0 NVMe</t>
  </si>
  <si>
    <t>Nº 3</t>
  </si>
  <si>
    <t>Desarrolador</t>
  </si>
  <si>
    <t>Computador AMD Ryzen 5 9600X 
| 16GB DDR5 RGB De Ram | M.2 NVMe 480GB De Almacenamiento
 | Monitor MSI 24″ IPS FHD 1ms-144Hz</t>
  </si>
  <si>
    <t>3.429.000</t>
  </si>
  <si>
    <t>Procesador: AMD Ryzen 5 9600X
 Memoria: 16GB DDR5 RGB
 Almacenamiento 512GB SSD M.2 NVMe™ PCIe® 3.0 Fabricante de tarjeta gráfica Intel® UHD 630</t>
  </si>
  <si>
    <t>Nº 4</t>
  </si>
  <si>
    <t>Tester</t>
  </si>
  <si>
    <t>Salario Base</t>
  </si>
  <si>
    <t>Aux Transporte</t>
  </si>
  <si>
    <t>Salud 
(8.5%)</t>
  </si>
  <si>
    <t>Pensión
(12%)</t>
  </si>
  <si>
    <t>ARL
(0.5%)</t>
  </si>
  <si>
    <t>Caja de Compensación
(4%)</t>
  </si>
  <si>
    <t>Prima
(8.33%)</t>
  </si>
  <si>
    <t>Centantias
(8.33%)</t>
  </si>
  <si>
    <t>Intereses de Censantia
(1%)</t>
  </si>
  <si>
    <t>TOTAL</t>
  </si>
  <si>
    <t>N/A</t>
  </si>
  <si>
    <t>$333,200,00</t>
  </si>
  <si>
    <t>$162,000,00</t>
  </si>
  <si>
    <t>$212,500,00</t>
  </si>
  <si>
    <t>ROLES</t>
  </si>
  <si>
    <t>TIPOS DE CONTRATO</t>
  </si>
  <si>
    <t>SALARIO-HONORARIOS</t>
  </si>
  <si>
    <t>SEGURIDAD SOCIAL</t>
  </si>
  <si>
    <t>PRESTACIONES SOCIALES</t>
  </si>
  <si>
    <t>TOTAL HORAS (160)</t>
  </si>
  <si>
    <t xml:space="preserve">auxilio de transporte </t>
  </si>
  <si>
    <t>PESION (12%)</t>
  </si>
  <si>
    <t>SALUD(8-5)</t>
  </si>
  <si>
    <t>ARL(0,5 -1%)</t>
  </si>
  <si>
    <t>PRIMA (8.33%)</t>
  </si>
  <si>
    <t>CESANTIAS (8.33%)</t>
  </si>
  <si>
    <t>INTERESES CESANTIAS (1%)</t>
  </si>
  <si>
    <t>VACACIONES (4.17%)</t>
  </si>
  <si>
    <t>CAJA DE COMPENSACION(4%)</t>
  </si>
  <si>
    <t>Analistas</t>
  </si>
  <si>
    <t>Desarrolladores Junior</t>
  </si>
  <si>
    <t>Arquitecto Sotfware</t>
  </si>
  <si>
    <t>Testing's</t>
  </si>
  <si>
    <t>Concepto</t>
  </si>
  <si>
    <t>Valor</t>
  </si>
  <si>
    <t>$ 3.200.000,00</t>
  </si>
  <si>
    <t>COSTO ANUAL</t>
  </si>
  <si>
    <t>Horas laborales mensuales</t>
  </si>
  <si>
    <t>Valor hora base</t>
  </si>
  <si>
    <t>Rol</t>
  </si>
  <si>
    <t>Tarifa por hora proyecto</t>
  </si>
  <si>
    <t>Total horas estimadas</t>
  </si>
  <si>
    <t>Costo total proyecto</t>
  </si>
  <si>
    <t>Salario desarrollador junior</t>
  </si>
  <si>
    <t>$ 3.000.000,00</t>
  </si>
  <si>
    <t>$ 18.750,00</t>
  </si>
  <si>
    <t>$ 8.000.000,00</t>
  </si>
  <si>
    <t>$ 50.000,00</t>
  </si>
  <si>
    <t>$ 2.800.000,00</t>
  </si>
  <si>
    <t>$ 17.500,00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</si>
</sst>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"/>
  </numFmts>
  <fonts count="19">
    <font>
      <sz val="10"/>
      <color rgb="FF000000"/>
      <name val="Arial"/>
      <scheme val="minor"/>
    </font>
    <font>
      <b/>
      <sz val="12"/>
      <color rgb="FF000000"/>
      <name val="Arial"/>
    </font>
    <font>
      <sz val="10"/>
      <name val="Arial"/>
    </font>
    <font>
      <sz val="10"/>
      <color rgb="FF000000"/>
      <name val="Arial"/>
    </font>
    <font>
      <b/>
      <sz val="10"/>
      <color rgb="FF000000"/>
      <name val="Arial"/>
    </font>
    <font>
      <i/>
      <sz val="8"/>
      <color rgb="FF000000"/>
      <name val="&quot;Trebuchet MS&quot;"/>
    </font>
    <font>
      <b/>
      <sz val="10"/>
      <color rgb="FF000000"/>
      <name val="&quot;Trebuchet MS&quot;"/>
    </font>
    <font>
      <i/>
      <sz val="10"/>
      <color rgb="FF000000"/>
      <name val="Arial"/>
    </font>
    <font>
      <sz val="10"/>
      <color rgb="FF000000"/>
      <name val="&quot;Trebuchet MS&quot;"/>
    </font>
    <font>
      <u/>
      <sz val="10"/>
      <color rgb="FF0000FF"/>
      <name val="Arial"/>
    </font>
    <font>
      <sz val="10"/>
      <color theme="1"/>
      <name val="Arial"/>
      <scheme val="minor"/>
    </font>
    <font>
      <sz val="10"/>
      <color rgb="FF231F20"/>
      <name val="&quot;Trebuchet MS&quot;"/>
    </font>
    <font>
      <u/>
      <sz val="10"/>
      <color rgb="FF0000FF"/>
      <name val="&quot;Trebuchet MS&quot;"/>
    </font>
    <font>
      <u/>
      <sz val="10"/>
      <color rgb="FF000000"/>
      <name val="&quot;Trebuchet MS&quot;"/>
    </font>
    <font>
      <sz val="10"/>
      <color theme="1"/>
      <name val="&quot;Trebuchet MS&quot;"/>
    </font>
    <font>
      <sz val="11"/>
      <color rgb="FF000000"/>
      <name val="Calibri"/>
    </font>
    <font>
      <sz val="11"/>
      <color theme="1"/>
      <name val="Calibri"/>
    </font>
    <font>
      <sz val="10"/>
      <color theme="1"/>
      <name val="Arial"/>
    </font>
    <font>
      <b/>
      <sz val="11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rgb="FFCCFFCC"/>
        <bgColor rgb="FFCCFFCC"/>
      </patternFill>
    </fill>
    <fill>
      <patternFill patternType="solid">
        <fgColor rgb="FFB6D7A8"/>
        <bgColor rgb="FFB6D7A8"/>
      </patternFill>
    </fill>
    <fill>
      <patternFill patternType="solid">
        <fgColor rgb="FF6FA8DC"/>
        <bgColor rgb="FF6FA8DC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AEAAAA"/>
        <bgColor rgb="FFAEAAAA"/>
      </patternFill>
    </fill>
    <fill>
      <patternFill patternType="solid">
        <fgColor rgb="FFD9D9D9"/>
        <bgColor rgb="FFD9D9D9"/>
      </patternFill>
    </fill>
    <fill>
      <patternFill patternType="solid">
        <fgColor rgb="FFD0CECE"/>
        <bgColor rgb="FFD0CECE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3" fillId="0" borderId="0" xfId="0" applyFont="1"/>
    <xf numFmtId="0" fontId="4" fillId="3" borderId="4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vertical="top"/>
    </xf>
    <xf numFmtId="0" fontId="9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11" fillId="0" borderId="0" xfId="0" applyFont="1" applyAlignment="1">
      <alignment horizontal="center" vertical="top"/>
    </xf>
    <xf numFmtId="0" fontId="12" fillId="0" borderId="4" xfId="0" applyFont="1" applyBorder="1" applyAlignment="1">
      <alignment horizontal="center" vertical="top"/>
    </xf>
    <xf numFmtId="0" fontId="3" fillId="0" borderId="4" xfId="0" applyFont="1" applyBorder="1"/>
    <xf numFmtId="0" fontId="8" fillId="0" borderId="2" xfId="0" applyFont="1" applyBorder="1" applyAlignment="1">
      <alignment horizontal="center" vertical="top"/>
    </xf>
    <xf numFmtId="0" fontId="8" fillId="0" borderId="6" xfId="0" applyFont="1" applyBorder="1" applyAlignment="1">
      <alignment horizontal="center" vertical="top"/>
    </xf>
    <xf numFmtId="0" fontId="4" fillId="0" borderId="7" xfId="0" applyFont="1" applyBorder="1" applyAlignment="1">
      <alignment horizontal="center"/>
    </xf>
    <xf numFmtId="0" fontId="13" fillId="0" borderId="6" xfId="0" applyFont="1" applyBorder="1" applyAlignment="1">
      <alignment horizontal="center" vertical="top"/>
    </xf>
    <xf numFmtId="0" fontId="3" fillId="0" borderId="8" xfId="0" applyFont="1" applyBorder="1"/>
    <xf numFmtId="0" fontId="10" fillId="0" borderId="0" xfId="0" applyFont="1"/>
    <xf numFmtId="164" fontId="10" fillId="0" borderId="4" xfId="0" applyNumberFormat="1" applyFont="1" applyBorder="1" applyAlignment="1">
      <alignment horizontal="center"/>
    </xf>
    <xf numFmtId="164" fontId="8" fillId="0" borderId="4" xfId="0" applyNumberFormat="1" applyFont="1" applyBorder="1" applyAlignment="1">
      <alignment horizontal="center" vertical="top"/>
    </xf>
    <xf numFmtId="164" fontId="10" fillId="0" borderId="4" xfId="0" applyNumberFormat="1" applyFont="1" applyBorder="1"/>
    <xf numFmtId="164" fontId="10" fillId="0" borderId="0" xfId="0" applyNumberFormat="1" applyFont="1"/>
    <xf numFmtId="164" fontId="14" fillId="0" borderId="4" xfId="0" applyNumberFormat="1" applyFont="1" applyBorder="1" applyAlignment="1">
      <alignment horizontal="center" vertical="top"/>
    </xf>
    <xf numFmtId="164" fontId="3" fillId="0" borderId="4" xfId="0" applyNumberFormat="1" applyFont="1" applyBorder="1"/>
    <xf numFmtId="164" fontId="10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right"/>
    </xf>
    <xf numFmtId="165" fontId="10" fillId="0" borderId="0" xfId="0" applyNumberFormat="1" applyFont="1"/>
    <xf numFmtId="0" fontId="15" fillId="5" borderId="3" xfId="0" applyFont="1" applyFill="1" applyBorder="1" applyAlignment="1">
      <alignment horizontal="center"/>
    </xf>
    <xf numFmtId="0" fontId="15" fillId="5" borderId="4" xfId="0" applyFont="1" applyFill="1" applyBorder="1" applyAlignment="1">
      <alignment horizontal="center"/>
    </xf>
    <xf numFmtId="0" fontId="16" fillId="6" borderId="10" xfId="0" applyFont="1" applyFill="1" applyBorder="1"/>
    <xf numFmtId="0" fontId="15" fillId="0" borderId="4" xfId="0" applyFont="1" applyBorder="1"/>
    <xf numFmtId="164" fontId="17" fillId="0" borderId="4" xfId="0" applyNumberFormat="1" applyFont="1" applyBorder="1" applyAlignment="1">
      <alignment horizontal="center"/>
    </xf>
    <xf numFmtId="164" fontId="17" fillId="0" borderId="0" xfId="0" applyNumberFormat="1" applyFont="1" applyAlignment="1">
      <alignment horizontal="right"/>
    </xf>
    <xf numFmtId="164" fontId="15" fillId="0" borderId="8" xfId="0" applyNumberFormat="1" applyFont="1" applyBorder="1"/>
    <xf numFmtId="0" fontId="16" fillId="7" borderId="10" xfId="0" applyFont="1" applyFill="1" applyBorder="1"/>
    <xf numFmtId="164" fontId="15" fillId="0" borderId="4" xfId="0" applyNumberFormat="1" applyFont="1" applyBorder="1"/>
    <xf numFmtId="0" fontId="15" fillId="0" borderId="8" xfId="0" applyFont="1" applyBorder="1"/>
    <xf numFmtId="0" fontId="16" fillId="7" borderId="8" xfId="0" applyFont="1" applyFill="1" applyBorder="1"/>
    <xf numFmtId="0" fontId="18" fillId="8" borderId="4" xfId="0" applyFont="1" applyFill="1" applyBorder="1" applyAlignment="1">
      <alignment horizontal="center"/>
    </xf>
    <xf numFmtId="0" fontId="15" fillId="9" borderId="4" xfId="0" applyFont="1" applyFill="1" applyBorder="1"/>
    <xf numFmtId="0" fontId="15" fillId="10" borderId="4" xfId="0" applyFont="1" applyFill="1" applyBorder="1"/>
    <xf numFmtId="0" fontId="15" fillId="0" borderId="4" xfId="0" applyFont="1" applyBorder="1" applyAlignment="1">
      <alignment horizontal="left"/>
    </xf>
    <xf numFmtId="0" fontId="15" fillId="0" borderId="4" xfId="0" applyFont="1" applyBorder="1" applyAlignment="1">
      <alignment horizontal="right"/>
    </xf>
    <xf numFmtId="0" fontId="15" fillId="10" borderId="4" xfId="0" applyFont="1" applyFill="1" applyBorder="1" applyAlignment="1">
      <alignment horizontal="left"/>
    </xf>
    <xf numFmtId="164" fontId="15" fillId="10" borderId="4" xfId="0" applyNumberFormat="1" applyFont="1" applyFill="1" applyBorder="1"/>
    <xf numFmtId="0" fontId="15" fillId="11" borderId="10" xfId="0" applyFont="1" applyFill="1" applyBorder="1"/>
    <xf numFmtId="0" fontId="15" fillId="10" borderId="4" xfId="0" applyFont="1" applyFill="1" applyBorder="1" applyAlignment="1">
      <alignment horizontal="righ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right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15" fillId="5" borderId="9" xfId="0" applyFont="1" applyFill="1" applyBorder="1" applyAlignment="1">
      <alignment horizontal="center"/>
    </xf>
    <xf numFmtId="0" fontId="2" fillId="0" borderId="10" xfId="0" applyFont="1" applyBorder="1"/>
    <xf numFmtId="0" fontId="15" fillId="11" borderId="9" xfId="0" applyFont="1" applyFill="1" applyBorder="1" applyAlignment="1">
      <alignment horizontal="center"/>
    </xf>
    <xf numFmtId="0" fontId="15" fillId="5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peedlogic.com.co/tienda/computadores-de-escritorio/computador-amd-ryzen-5-5600gt-16gb-ddr4-rgb-de-ram-m-2-nvme-512gb-de-almacenamiento-monitor-asus-24%e2%80%b3-ips-fhd-1ms-120hz/" TargetMode="External"/><Relationship Id="rId2" Type="http://schemas.openxmlformats.org/officeDocument/2006/relationships/hyperlink" Target="https://www.falabella.com.co/falabella-co/product/143931802/todo-en-uno-lenovo-amd-ryzen-7-7730u-24gb-ram-512gb-ssd-238-fhd/143931804" TargetMode="External"/><Relationship Id="rId1" Type="http://schemas.openxmlformats.org/officeDocument/2006/relationships/hyperlink" Target="https://www.falabella.com.co/falabella-co/product/151770820/lenovo-thinkcentre-neo-50q-i5-8gb-256gb-monitor-24-fhd/151770821" TargetMode="External"/><Relationship Id="rId4" Type="http://schemas.openxmlformats.org/officeDocument/2006/relationships/hyperlink" Target="https://www.falabella.com.co/falabella-co/product/143931802/todo-en-uno-lenovo-amd-ryzen-7-7730u-24gb-ram-512gb-ssd-238-fhd/14393180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4:L17"/>
  <sheetViews>
    <sheetView tabSelected="1" workbookViewId="0">
      <selection activeCell="C17" sqref="C17"/>
    </sheetView>
  </sheetViews>
  <sheetFormatPr baseColWidth="10" defaultColWidth="12.6640625" defaultRowHeight="15.75" customHeight="1"/>
  <cols>
    <col min="2" max="2" width="26.44140625" customWidth="1"/>
    <col min="3" max="3" width="58.77734375" customWidth="1"/>
    <col min="4" max="4" width="24.44140625" customWidth="1"/>
    <col min="5" max="5" width="14.33203125" customWidth="1"/>
    <col min="6" max="6" width="92.88671875" customWidth="1"/>
    <col min="8" max="8" width="18.44140625" customWidth="1"/>
    <col min="11" max="11" width="20.44140625" customWidth="1"/>
  </cols>
  <sheetData>
    <row r="4" spans="1:12" ht="15.75" customHeight="1">
      <c r="A4" s="53" t="s">
        <v>0</v>
      </c>
      <c r="B4" s="54"/>
      <c r="C4" s="54"/>
      <c r="D4" s="54"/>
      <c r="E4" s="54"/>
      <c r="F4" s="55"/>
      <c r="G4" s="1"/>
    </row>
    <row r="5" spans="1:12" ht="13.2">
      <c r="A5" s="1"/>
      <c r="B5" s="1"/>
      <c r="C5" s="1"/>
      <c r="D5" s="1"/>
      <c r="E5" s="1"/>
      <c r="F5" s="1"/>
      <c r="G5" s="1"/>
    </row>
    <row r="6" spans="1:12" ht="13.2">
      <c r="A6" s="2" t="s">
        <v>1</v>
      </c>
      <c r="B6" s="3" t="s">
        <v>2</v>
      </c>
      <c r="C6" s="4" t="s">
        <v>3</v>
      </c>
      <c r="D6" s="5" t="s">
        <v>4</v>
      </c>
      <c r="E6" s="6" t="s">
        <v>5</v>
      </c>
      <c r="F6" s="4" t="s">
        <v>6</v>
      </c>
      <c r="G6" s="7"/>
    </row>
    <row r="7" spans="1:12" ht="13.2">
      <c r="A7" s="8" t="s">
        <v>7</v>
      </c>
      <c r="B7" s="9" t="s">
        <v>8</v>
      </c>
      <c r="C7" s="10" t="s">
        <v>9</v>
      </c>
      <c r="D7" s="11" t="s">
        <v>10</v>
      </c>
      <c r="E7" s="9" t="s">
        <v>11</v>
      </c>
      <c r="F7" s="12" t="s">
        <v>12</v>
      </c>
      <c r="G7" s="1"/>
    </row>
    <row r="8" spans="1:12" ht="13.2">
      <c r="A8" s="8" t="s">
        <v>13</v>
      </c>
      <c r="B8" s="13" t="s">
        <v>14</v>
      </c>
      <c r="C8" s="14" t="s">
        <v>15</v>
      </c>
      <c r="D8" s="9" t="s">
        <v>16</v>
      </c>
      <c r="E8" s="9" t="s">
        <v>11</v>
      </c>
      <c r="F8" s="15" t="s">
        <v>17</v>
      </c>
      <c r="G8" s="1"/>
    </row>
    <row r="9" spans="1:12" ht="13.2">
      <c r="A9" s="8" t="s">
        <v>18</v>
      </c>
      <c r="B9" s="16" t="s">
        <v>19</v>
      </c>
      <c r="C9" s="14" t="s">
        <v>20</v>
      </c>
      <c r="D9" s="9" t="s">
        <v>21</v>
      </c>
      <c r="E9" s="9" t="s">
        <v>11</v>
      </c>
      <c r="F9" s="15" t="s">
        <v>22</v>
      </c>
      <c r="G9" s="1"/>
    </row>
    <row r="10" spans="1:12" ht="13.2">
      <c r="A10" s="8" t="s">
        <v>23</v>
      </c>
      <c r="B10" s="17" t="s">
        <v>24</v>
      </c>
      <c r="C10" s="14" t="s">
        <v>15</v>
      </c>
      <c r="D10" s="9" t="s">
        <v>16</v>
      </c>
      <c r="E10" s="9" t="s">
        <v>11</v>
      </c>
      <c r="F10" s="15" t="s">
        <v>17</v>
      </c>
      <c r="G10" s="1"/>
    </row>
    <row r="11" spans="1:12" ht="13.2">
      <c r="A11" s="18"/>
      <c r="B11" s="17"/>
      <c r="C11" s="19"/>
      <c r="D11" s="17"/>
      <c r="E11" s="17"/>
      <c r="F11" s="20"/>
      <c r="G11" s="1"/>
    </row>
    <row r="12" spans="1:12" ht="13.2">
      <c r="A12" s="2" t="s">
        <v>1</v>
      </c>
      <c r="B12" s="3" t="s">
        <v>2</v>
      </c>
      <c r="C12" s="4" t="s">
        <v>25</v>
      </c>
      <c r="D12" s="5" t="s">
        <v>26</v>
      </c>
      <c r="E12" s="6" t="s">
        <v>27</v>
      </c>
      <c r="F12" s="4" t="s">
        <v>28</v>
      </c>
      <c r="G12" s="21" t="s">
        <v>29</v>
      </c>
      <c r="H12" s="21" t="s">
        <v>30</v>
      </c>
      <c r="I12" s="21" t="s">
        <v>31</v>
      </c>
      <c r="J12" s="21" t="s">
        <v>32</v>
      </c>
      <c r="K12" s="21" t="s">
        <v>33</v>
      </c>
      <c r="L12" s="21" t="s">
        <v>34</v>
      </c>
    </row>
    <row r="13" spans="1:12" ht="13.2">
      <c r="A13" s="8" t="s">
        <v>7</v>
      </c>
      <c r="B13" s="9" t="s">
        <v>8</v>
      </c>
      <c r="C13" s="22">
        <v>1750905</v>
      </c>
      <c r="D13" s="22">
        <v>249095</v>
      </c>
      <c r="E13" s="23">
        <v>148827</v>
      </c>
      <c r="F13" s="24">
        <v>210108</v>
      </c>
      <c r="G13" s="25">
        <v>9014</v>
      </c>
      <c r="H13" s="25">
        <v>70036</v>
      </c>
      <c r="I13" s="25">
        <v>145873</v>
      </c>
      <c r="J13" s="25">
        <v>145873</v>
      </c>
      <c r="K13" s="25">
        <v>17509</v>
      </c>
      <c r="L13" s="25">
        <f t="shared" ref="L13:L14" si="0">SUM(C13:K13)</f>
        <v>2747240</v>
      </c>
    </row>
    <row r="14" spans="1:12" ht="13.2">
      <c r="A14" s="8" t="s">
        <v>13</v>
      </c>
      <c r="B14" s="13" t="s">
        <v>14</v>
      </c>
      <c r="C14" s="26">
        <v>2200000</v>
      </c>
      <c r="D14" s="23">
        <v>249095</v>
      </c>
      <c r="E14" s="23">
        <v>187000</v>
      </c>
      <c r="F14" s="27">
        <v>264000</v>
      </c>
      <c r="G14" s="25">
        <v>11484</v>
      </c>
      <c r="H14" s="25">
        <v>88000</v>
      </c>
      <c r="I14" s="25">
        <v>204000</v>
      </c>
      <c r="J14" s="25">
        <v>204000</v>
      </c>
      <c r="K14" s="25">
        <v>24049</v>
      </c>
      <c r="L14" s="25">
        <f t="shared" si="0"/>
        <v>3431628</v>
      </c>
    </row>
    <row r="15" spans="1:12" ht="13.2">
      <c r="A15" s="8" t="s">
        <v>18</v>
      </c>
      <c r="B15" s="16" t="s">
        <v>19</v>
      </c>
      <c r="C15" s="26">
        <v>4000000</v>
      </c>
      <c r="D15" s="9" t="s">
        <v>35</v>
      </c>
      <c r="E15" s="28">
        <v>340000</v>
      </c>
      <c r="F15" s="27">
        <v>480000</v>
      </c>
      <c r="G15" s="25">
        <v>20000</v>
      </c>
      <c r="H15" s="25">
        <v>160000</v>
      </c>
      <c r="I15" s="25">
        <v>333200</v>
      </c>
      <c r="J15" s="29" t="s">
        <v>36</v>
      </c>
      <c r="K15" s="30">
        <v>40000</v>
      </c>
      <c r="L15" s="25">
        <v>4886400</v>
      </c>
    </row>
    <row r="16" spans="1:12" ht="13.2">
      <c r="A16" s="8" t="s">
        <v>23</v>
      </c>
      <c r="B16" s="17" t="s">
        <v>24</v>
      </c>
      <c r="C16" s="26">
        <v>2500000</v>
      </c>
      <c r="D16" s="23" t="s">
        <v>37</v>
      </c>
      <c r="E16" s="9" t="s">
        <v>38</v>
      </c>
      <c r="F16" s="27">
        <v>300000</v>
      </c>
      <c r="G16" s="25">
        <v>12500</v>
      </c>
      <c r="H16" s="25">
        <v>100000</v>
      </c>
      <c r="I16" s="25">
        <v>208250</v>
      </c>
      <c r="J16" s="25">
        <v>208250</v>
      </c>
      <c r="K16" s="25">
        <v>25000</v>
      </c>
      <c r="L16" s="25">
        <v>3216000</v>
      </c>
    </row>
    <row r="17" spans="1:6" ht="13.2">
      <c r="A17" s="18"/>
      <c r="B17" s="17"/>
      <c r="C17" s="19"/>
      <c r="D17" s="17"/>
      <c r="E17" s="17"/>
      <c r="F17" s="20"/>
    </row>
  </sheetData>
  <mergeCells count="1">
    <mergeCell ref="A4:F4"/>
  </mergeCells>
  <hyperlinks>
    <hyperlink ref="C7" r:id="rId1" xr:uid="{00000000-0004-0000-0000-000000000000}"/>
    <hyperlink ref="C8" r:id="rId2" xr:uid="{00000000-0004-0000-0000-000001000000}"/>
    <hyperlink ref="C9" r:id="rId3" xr:uid="{00000000-0004-0000-0000-000002000000}"/>
    <hyperlink ref="C10" r:id="rId4" xr:uid="{00000000-0004-0000-0000-000003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38"/>
  <sheetViews>
    <sheetView workbookViewId="0"/>
  </sheetViews>
  <sheetFormatPr baseColWidth="10" defaultColWidth="12.6640625" defaultRowHeight="15.75" customHeight="1"/>
  <cols>
    <col min="1" max="1" width="21.44140625" customWidth="1"/>
    <col min="2" max="2" width="20.6640625" customWidth="1"/>
    <col min="3" max="3" width="21.44140625" customWidth="1"/>
    <col min="4" max="4" width="18.44140625" customWidth="1"/>
    <col min="9" max="9" width="18.88671875" customWidth="1"/>
    <col min="10" max="10" width="20.21875" customWidth="1"/>
    <col min="11" max="11" width="24.109375" customWidth="1"/>
    <col min="12" max="12" width="24.44140625" customWidth="1"/>
    <col min="14" max="14" width="18.6640625" customWidth="1"/>
  </cols>
  <sheetData>
    <row r="1" spans="1:14" ht="15.75" customHeight="1">
      <c r="A1" s="56" t="s">
        <v>39</v>
      </c>
      <c r="B1" s="56" t="s">
        <v>40</v>
      </c>
      <c r="C1" s="56" t="s">
        <v>41</v>
      </c>
      <c r="E1" s="59" t="s">
        <v>42</v>
      </c>
      <c r="F1" s="54"/>
      <c r="G1" s="55"/>
      <c r="H1" s="59" t="s">
        <v>43</v>
      </c>
      <c r="I1" s="54"/>
      <c r="J1" s="54"/>
      <c r="K1" s="55"/>
      <c r="L1" s="31"/>
      <c r="M1" s="56" t="s">
        <v>34</v>
      </c>
      <c r="N1" s="56" t="s">
        <v>44</v>
      </c>
    </row>
    <row r="2" spans="1:14" ht="15.75" customHeight="1">
      <c r="A2" s="57"/>
      <c r="B2" s="57"/>
      <c r="C2" s="57"/>
      <c r="D2" s="21" t="s">
        <v>45</v>
      </c>
      <c r="E2" s="32" t="s">
        <v>46</v>
      </c>
      <c r="F2" s="32" t="s">
        <v>47</v>
      </c>
      <c r="G2" s="32" t="s">
        <v>48</v>
      </c>
      <c r="H2" s="32" t="s">
        <v>49</v>
      </c>
      <c r="I2" s="32" t="s">
        <v>50</v>
      </c>
      <c r="J2" s="32" t="s">
        <v>51</v>
      </c>
      <c r="K2" s="32" t="s">
        <v>52</v>
      </c>
      <c r="L2" s="32" t="s">
        <v>53</v>
      </c>
      <c r="M2" s="57"/>
      <c r="N2" s="57"/>
    </row>
    <row r="3" spans="1:14" ht="15.75" customHeight="1">
      <c r="A3" s="33" t="s">
        <v>54</v>
      </c>
      <c r="B3" s="34"/>
      <c r="C3" s="22">
        <v>1750905</v>
      </c>
      <c r="D3" s="35">
        <v>249095</v>
      </c>
      <c r="E3" s="24">
        <v>210108</v>
      </c>
      <c r="F3" s="23">
        <v>148827</v>
      </c>
      <c r="G3" s="25">
        <v>9014</v>
      </c>
      <c r="H3" s="25">
        <v>145873</v>
      </c>
      <c r="I3" s="25">
        <v>145873</v>
      </c>
      <c r="J3" s="36">
        <v>145873</v>
      </c>
      <c r="K3" s="36">
        <v>17509</v>
      </c>
      <c r="L3" s="25">
        <v>70036</v>
      </c>
      <c r="M3" s="34"/>
      <c r="N3" s="37"/>
    </row>
    <row r="4" spans="1:14" ht="15.75" customHeight="1">
      <c r="A4" s="33" t="s">
        <v>55</v>
      </c>
      <c r="B4" s="34"/>
      <c r="C4" s="38"/>
      <c r="D4" s="34"/>
      <c r="E4" s="39"/>
      <c r="F4" s="39"/>
      <c r="G4" s="39"/>
      <c r="H4" s="39"/>
      <c r="I4" s="39"/>
      <c r="J4" s="39"/>
      <c r="K4" s="39"/>
      <c r="L4" s="39"/>
      <c r="M4" s="34"/>
      <c r="N4" s="37"/>
    </row>
    <row r="5" spans="1:14" ht="15.75" customHeight="1">
      <c r="A5" s="33" t="s">
        <v>56</v>
      </c>
      <c r="B5" s="34"/>
      <c r="C5" s="38"/>
      <c r="D5" s="34"/>
      <c r="E5" s="39"/>
      <c r="F5" s="39"/>
      <c r="G5" s="39"/>
      <c r="H5" s="39"/>
      <c r="I5" s="39"/>
      <c r="J5" s="39"/>
      <c r="K5" s="39"/>
      <c r="L5" s="39"/>
      <c r="M5" s="34"/>
      <c r="N5" s="37"/>
    </row>
    <row r="6" spans="1:14" ht="15.75" customHeight="1">
      <c r="A6" s="33" t="s">
        <v>57</v>
      </c>
      <c r="B6" s="40"/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37"/>
    </row>
    <row r="8" spans="1:14" ht="15.75" customHeight="1">
      <c r="E8" s="42" t="s">
        <v>58</v>
      </c>
      <c r="F8" s="42" t="s">
        <v>59</v>
      </c>
    </row>
    <row r="9" spans="1:14" ht="15.75" customHeight="1">
      <c r="E9" s="43" t="s">
        <v>54</v>
      </c>
      <c r="F9" s="44" t="s">
        <v>60</v>
      </c>
      <c r="L9" s="58" t="s">
        <v>61</v>
      </c>
    </row>
    <row r="10" spans="1:14" ht="15.75" customHeight="1">
      <c r="E10" s="45" t="s">
        <v>62</v>
      </c>
      <c r="F10" s="46">
        <v>160</v>
      </c>
      <c r="L10" s="57"/>
    </row>
    <row r="11" spans="1:14" ht="15.75" customHeight="1">
      <c r="E11" s="47" t="s">
        <v>63</v>
      </c>
      <c r="F11" s="48">
        <v>20</v>
      </c>
      <c r="L11" s="49" t="s">
        <v>64</v>
      </c>
    </row>
    <row r="12" spans="1:14" ht="15.75" customHeight="1">
      <c r="E12" s="45" t="s">
        <v>65</v>
      </c>
      <c r="F12" s="46"/>
      <c r="L12" s="49" t="s">
        <v>54</v>
      </c>
    </row>
    <row r="13" spans="1:14" ht="15.75" customHeight="1">
      <c r="E13" s="47" t="s">
        <v>66</v>
      </c>
      <c r="F13" s="50"/>
      <c r="L13" s="49" t="s">
        <v>55</v>
      </c>
    </row>
    <row r="14" spans="1:14" ht="15.75" customHeight="1">
      <c r="E14" s="45" t="s">
        <v>67</v>
      </c>
      <c r="F14" s="46"/>
      <c r="L14" s="49" t="s">
        <v>56</v>
      </c>
    </row>
    <row r="15" spans="1:14" ht="15.75" customHeight="1">
      <c r="E15" s="51"/>
      <c r="F15" s="52"/>
      <c r="L15" s="49" t="s">
        <v>57</v>
      </c>
    </row>
    <row r="16" spans="1:14" ht="15.75" customHeight="1">
      <c r="E16" s="42" t="s">
        <v>58</v>
      </c>
      <c r="F16" s="42" t="s">
        <v>59</v>
      </c>
    </row>
    <row r="17" spans="5:6" ht="15.75" customHeight="1">
      <c r="E17" s="47" t="s">
        <v>68</v>
      </c>
      <c r="F17" s="50" t="s">
        <v>69</v>
      </c>
    </row>
    <row r="18" spans="5:6" ht="15.75" customHeight="1">
      <c r="E18" s="45" t="s">
        <v>62</v>
      </c>
      <c r="F18" s="46">
        <v>160</v>
      </c>
    </row>
    <row r="19" spans="5:6" ht="15.75" customHeight="1">
      <c r="E19" s="47" t="s">
        <v>63</v>
      </c>
      <c r="F19" s="50" t="s">
        <v>70</v>
      </c>
    </row>
    <row r="20" spans="5:6" ht="15.75" customHeight="1">
      <c r="E20" s="45" t="s">
        <v>65</v>
      </c>
      <c r="F20" s="46"/>
    </row>
    <row r="21" spans="5:6" ht="15.75" customHeight="1">
      <c r="E21" s="47" t="s">
        <v>66</v>
      </c>
      <c r="F21" s="50"/>
    </row>
    <row r="22" spans="5:6" ht="15.75" customHeight="1">
      <c r="E22" s="45" t="s">
        <v>67</v>
      </c>
      <c r="F22" s="46"/>
    </row>
    <row r="23" spans="5:6" ht="15.75" customHeight="1">
      <c r="E23" s="51"/>
      <c r="F23" s="52"/>
    </row>
    <row r="24" spans="5:6" ht="15.75" customHeight="1">
      <c r="E24" s="42" t="s">
        <v>58</v>
      </c>
      <c r="F24" s="42" t="s">
        <v>59</v>
      </c>
    </row>
    <row r="25" spans="5:6" ht="15.75" customHeight="1">
      <c r="E25" s="43" t="s">
        <v>56</v>
      </c>
      <c r="F25" s="44" t="s">
        <v>71</v>
      </c>
    </row>
    <row r="26" spans="5:6" ht="15.75" customHeight="1">
      <c r="E26" s="45" t="s">
        <v>62</v>
      </c>
      <c r="F26" s="46">
        <v>160</v>
      </c>
    </row>
    <row r="27" spans="5:6" ht="15.75" customHeight="1">
      <c r="E27" s="47" t="s">
        <v>63</v>
      </c>
      <c r="F27" s="50" t="s">
        <v>72</v>
      </c>
    </row>
    <row r="28" spans="5:6" ht="14.4">
      <c r="E28" s="45" t="s">
        <v>65</v>
      </c>
      <c r="F28" s="46"/>
    </row>
    <row r="29" spans="5:6" ht="14.4">
      <c r="E29" s="47" t="s">
        <v>66</v>
      </c>
      <c r="F29" s="50"/>
    </row>
    <row r="30" spans="5:6" ht="14.4">
      <c r="E30" s="45" t="s">
        <v>67</v>
      </c>
      <c r="F30" s="46"/>
    </row>
    <row r="31" spans="5:6" ht="14.4">
      <c r="E31" s="51"/>
      <c r="F31" s="52"/>
    </row>
    <row r="32" spans="5:6" ht="14.4">
      <c r="E32" s="42" t="s">
        <v>58</v>
      </c>
      <c r="F32" s="42" t="s">
        <v>59</v>
      </c>
    </row>
    <row r="33" spans="5:6" ht="14.4">
      <c r="E33" s="43" t="s">
        <v>57</v>
      </c>
      <c r="F33" s="44" t="s">
        <v>73</v>
      </c>
    </row>
    <row r="34" spans="5:6" ht="14.4">
      <c r="E34" s="45" t="s">
        <v>62</v>
      </c>
      <c r="F34" s="46">
        <v>160</v>
      </c>
    </row>
    <row r="35" spans="5:6" ht="14.4">
      <c r="E35" s="47" t="s">
        <v>63</v>
      </c>
      <c r="F35" s="50" t="s">
        <v>74</v>
      </c>
    </row>
    <row r="36" spans="5:6" ht="14.4">
      <c r="E36" s="45" t="s">
        <v>65</v>
      </c>
      <c r="F36" s="46"/>
    </row>
    <row r="37" spans="5:6" ht="14.4">
      <c r="E37" s="47" t="s">
        <v>66</v>
      </c>
      <c r="F37" s="50"/>
    </row>
    <row r="38" spans="5:6" ht="14.4">
      <c r="E38" s="45" t="s">
        <v>67</v>
      </c>
      <c r="F38" s="46"/>
    </row>
  </sheetData>
  <mergeCells count="8">
    <mergeCell ref="M1:M2"/>
    <mergeCell ref="N1:N2"/>
    <mergeCell ref="L9:L10"/>
    <mergeCell ref="A1:A2"/>
    <mergeCell ref="B1:B2"/>
    <mergeCell ref="C1:C2"/>
    <mergeCell ref="E1:G1"/>
    <mergeCell ref="H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 1</vt:lpstr>
      <vt:lpstr>EMPLEADOS </vt:lpstr>
      <vt:lpstr>SERVICIOS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David Carvajal Roa</cp:lastModifiedBy>
  <dcterms:modified xsi:type="dcterms:W3CDTF">2026-03-19T22:04:50Z</dcterms:modified>
</cp:coreProperties>
</file>