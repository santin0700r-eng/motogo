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va\Downloads\"/>
    </mc:Choice>
  </mc:AlternateContent>
  <xr:revisionPtr revIDLastSave="0" documentId="8_{606E1DB3-9C3B-48B7-AF07-CF64627AE6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 1" sheetId="1" r:id="rId1"/>
    <sheet name="EMPLEADOS " sheetId="2" r:id="rId2"/>
    <sheet name="Analista" sheetId="3" r:id="rId3"/>
    <sheet name="Analista de software" sheetId="4" r:id="rId4"/>
    <sheet name="Desarrollador" sheetId="5" r:id="rId5"/>
    <sheet name="Tester" sheetId="6" r:id="rId6"/>
  </sheets>
  <calcPr calcId="181029"/>
</workbook>
</file>

<file path=xl/calcChain.xml><?xml version="1.0" encoding="utf-8"?>
<calcChain xmlns="http://schemas.openxmlformats.org/spreadsheetml/2006/main">
  <c r="L14" i="1" l="1"/>
  <c r="L13" i="1"/>
</calcChain>
</file>

<file path=xl/sharedStrings.xml><?xml version="1.0" encoding="utf-8"?>
<sst xmlns="http://schemas.openxmlformats.org/spreadsheetml/2006/main" count="319" uniqueCount="142">
  <si>
    <t>Cuadro Comparativo de Cotizaciones para MOTOGO</t>
  </si>
  <si>
    <t>Presupuestos (a)</t>
  </si>
  <si>
    <t>ROL</t>
  </si>
  <si>
    <t>Computador</t>
  </si>
  <si>
    <t>Importe Total</t>
  </si>
  <si>
    <t xml:space="preserve">Forma de Pago 
 </t>
  </si>
  <si>
    <t>Observaciones 
 (se debe incluir toda aquella característica que no ha sido posible incluir anteriormente)</t>
  </si>
  <si>
    <t>Nº 1</t>
  </si>
  <si>
    <t>Analista</t>
  </si>
  <si>
    <t>LENOVO THINKCENTRE NEO 50Q I5 8GB 256GB + MONITOR 24″ FHD</t>
  </si>
  <si>
    <t>1.919.900</t>
  </si>
  <si>
    <t>contado</t>
  </si>
  <si>
    <t>Procesador: Intel Core i5-13420H
Memoria RAM: 8 GB DDR4 a 3200 MHz
Almacenamiento: SSD M.2 NVMe PCIe de 512 GB</t>
  </si>
  <si>
    <t>Nº2</t>
  </si>
  <si>
    <t>Analista de Software</t>
  </si>
  <si>
    <t>TODO EN UNO LENOVO AMD RYZEN 7-7730U 24GB RAM 512GB SSD 238″ FHD</t>
  </si>
  <si>
    <t>2.379.900</t>
  </si>
  <si>
    <t>Procesador: AMD Ryzen 7 7730U (8 núcleos / 16 hilos, 2.0 GHz base hasta 4.5 GHz turbo, 4 MB L2 + 16 MB L3
Ram: 24GB DDR4
Almacenamiento: 512GB SSD M.2 PCIe 4.0 NVMe</t>
  </si>
  <si>
    <t>Nº 3</t>
  </si>
  <si>
    <t>Desarrolador</t>
  </si>
  <si>
    <t>Computador AMD Ryzen 5 9600X 
| 16GB DDR5 RGB De Ram | M.2 NVMe 480GB De Almacenamiento
 | Monitor MSI 24″ IPS FHD 1ms-144Hz</t>
  </si>
  <si>
    <t>3.429.000</t>
  </si>
  <si>
    <t>Procesador: AMD Ryzen 5 9600X
 Memoria: 16GB DDR5 RGB
 Almacenamiento 512GB SSD M.2 NVMe™ PCIe® 3.0 Fabricante de tarjeta gráfica Intel® UHD 630</t>
  </si>
  <si>
    <t>Nº 4</t>
  </si>
  <si>
    <t>Tester</t>
  </si>
  <si>
    <t>Salario Base</t>
  </si>
  <si>
    <t>Aux Transporte</t>
  </si>
  <si>
    <t>Salud 
(8.5%)</t>
  </si>
  <si>
    <t>Pensión
(12%)</t>
  </si>
  <si>
    <t>ARL
(0.5%)</t>
  </si>
  <si>
    <t>Caja de Compensación
(4%)</t>
  </si>
  <si>
    <t>Prima
(8.33%)</t>
  </si>
  <si>
    <t>Centantias
(8.33%)</t>
  </si>
  <si>
    <t>Intereses de Censantia
(1%)</t>
  </si>
  <si>
    <t>TOTAL</t>
  </si>
  <si>
    <t>N/A</t>
  </si>
  <si>
    <t>$333,200,00</t>
  </si>
  <si>
    <t>$162,000,00</t>
  </si>
  <si>
    <t>$212,500,00</t>
  </si>
  <si>
    <t>ROLES</t>
  </si>
  <si>
    <t>TIPOS DE CONTRATO</t>
  </si>
  <si>
    <t>SALARIO-HONORARIOS</t>
  </si>
  <si>
    <t>SEGURIDAD SOCIAL</t>
  </si>
  <si>
    <t>PRESTACIONES SOCIALES</t>
  </si>
  <si>
    <t>TOTAL HORAS (160)</t>
  </si>
  <si>
    <t xml:space="preserve">auxilio de transporte </t>
  </si>
  <si>
    <t>PESION (12%)</t>
  </si>
  <si>
    <t>SALUD(8-5)</t>
  </si>
  <si>
    <t>ARL(0,5 -1%)</t>
  </si>
  <si>
    <t>PRIMA (8.33%)</t>
  </si>
  <si>
    <t>CESANTIAS (8.33%)</t>
  </si>
  <si>
    <t>INTERESES CESANTIAS (1%)</t>
  </si>
  <si>
    <t>VACACIONES (4.17%)</t>
  </si>
  <si>
    <t>CAJA DE COMPENSACION(4%)</t>
  </si>
  <si>
    <t>Analistas</t>
  </si>
  <si>
    <t>Desarrolladores Junior</t>
  </si>
  <si>
    <t>Arquitecto Sotfware</t>
  </si>
  <si>
    <t>Testing's</t>
  </si>
  <si>
    <t>Concepto</t>
  </si>
  <si>
    <t>Valor</t>
  </si>
  <si>
    <t>Horas laborales mensuales</t>
  </si>
  <si>
    <t>Valor hora base</t>
  </si>
  <si>
    <t>Rol</t>
  </si>
  <si>
    <t>Tarifa por hora proyecto</t>
  </si>
  <si>
    <t>Total horas estimadas</t>
  </si>
  <si>
    <t>Costo total proyecto</t>
  </si>
  <si>
    <t>Salario desarrollador junior</t>
  </si>
  <si>
    <t>2,200,000</t>
  </si>
  <si>
    <t>indefinido</t>
  </si>
  <si>
    <t>prestacion de servicios</t>
  </si>
  <si>
    <t>2,100,000</t>
  </si>
  <si>
    <t>3,000,000</t>
  </si>
  <si>
    <t>6,000,000</t>
  </si>
  <si>
    <t>FICHA TÉCNICA DE EQUIPO DE CÓMPUTO</t>
  </si>
  <si>
    <t>INFORMACIÓN GENERAL</t>
  </si>
  <si>
    <t>Nombre del equipo</t>
  </si>
  <si>
    <t>Marca</t>
  </si>
  <si>
    <t>lenovo</t>
  </si>
  <si>
    <t>Modelo</t>
  </si>
  <si>
    <t>NEO 50Q GEN 4</t>
  </si>
  <si>
    <t>Tipo (Desktop/Laptop)</t>
  </si>
  <si>
    <t>Desktop</t>
  </si>
  <si>
    <t>HARDWARE</t>
  </si>
  <si>
    <t>Procesador (CPU)</t>
  </si>
  <si>
    <t>Intel Core i5-13420H (13ª generación, 8 núcleos)</t>
  </si>
  <si>
    <t>Memoria RAM (GB)</t>
  </si>
  <si>
    <t>8 GB DDR4 a 3200 MHz (expandible hasta 32 GB)</t>
  </si>
  <si>
    <t>Almacenamiento principal (SSD/HDD)</t>
  </si>
  <si>
    <t>SSD M.2 NVMe PCIe de 512 GB</t>
  </si>
  <si>
    <t>Capacidad almacenamiento</t>
  </si>
  <si>
    <t>512 GB</t>
  </si>
  <si>
    <t>Tarjeta gráfica (GPU)</t>
  </si>
  <si>
    <t>Intel UHD integrados</t>
  </si>
  <si>
    <t>SOFTWARE</t>
  </si>
  <si>
    <t>Sistema operativo</t>
  </si>
  <si>
    <t>Windows 11 Pro preinstalado</t>
  </si>
  <si>
    <t>Licencia</t>
  </si>
  <si>
    <t>Software instalado importante</t>
  </si>
  <si>
    <t>PERIFÉRICOS</t>
  </si>
  <si>
    <t>Monitor</t>
  </si>
  <si>
    <t>Lenovo de 24 pulgadas Full HD (23.8")</t>
  </si>
  <si>
    <t>Teclado</t>
  </si>
  <si>
    <t>Mouse</t>
  </si>
  <si>
    <t>Otros dispositivos</t>
  </si>
  <si>
    <t>RED Y CONECTIVIDAD</t>
  </si>
  <si>
    <t>Dirección IP</t>
  </si>
  <si>
    <t>Dirección MAC</t>
  </si>
  <si>
    <t>WiFi</t>
  </si>
  <si>
    <t>Wi-Fi 6, Ethernet RJ‑45 Gigabit</t>
  </si>
  <si>
    <t>Bluetooth</t>
  </si>
  <si>
    <t>Puertos disponibles</t>
  </si>
  <si>
    <t>Puertos frontales:
1 × USB-C
1 × USB-A
1 × Combo Jack 3.5 mm
Puertos traseros:
1 x Display Port
4 x USB tipo A
1 x HDMI
1 x Conector RJ45</t>
  </si>
  <si>
    <t>GESTIÓN</t>
  </si>
  <si>
    <t>Fecha de compra</t>
  </si>
  <si>
    <t>Garantía</t>
  </si>
  <si>
    <t>Ubicación</t>
  </si>
  <si>
    <t>Responsable</t>
  </si>
  <si>
    <t>Estado (Activo/En reparación)</t>
  </si>
  <si>
    <t>Observaciones</t>
  </si>
  <si>
    <t>Lenovo</t>
  </si>
  <si>
    <t>AIO 24ALC6</t>
  </si>
  <si>
    <t>AMD Ryzen 7 7730U (8 núcleos / 16 hilos, 2.0 GHz base hasta 4.5 GHz turbo, 4 MB L2 + 16 MB L3</t>
  </si>
  <si>
    <t>24GB DDR4</t>
  </si>
  <si>
    <t>512GB SSD M.2 PCIe 4.0 NVMe</t>
  </si>
  <si>
    <t>512GB</t>
  </si>
  <si>
    <t>AMD Radeon™ Graphics</t>
  </si>
  <si>
    <t>Free dos</t>
  </si>
  <si>
    <t>Teclado alámbrico Lenovo Calliope</t>
  </si>
  <si>
    <t>Mouse alámbrico Lenovo Calliope</t>
  </si>
  <si>
    <t>90W de alta eficiencia</t>
  </si>
  <si>
    <t>Wi-Fi 6 (802.11ax 2x2)</t>
  </si>
  <si>
    <t>Bluetooth 5.2</t>
  </si>
  <si>
    <t>2x USB 2.0 
2x USB 3.2 Gen 1 
1x HDMI 1.4 
1x Ethernet RJ-45 
1x conector de alimentación</t>
  </si>
  <si>
    <t>Viene con garantía de 1 año por defectos de fábrica.</t>
  </si>
  <si>
    <t>Computador AMD Ryzen 5 9600X | 16GB DDR5 RGB De Ram | M.2 NVMe 480GB De Almacenamiento | Monitor MSI 24″ IPS FHD 1ms-144Hz</t>
  </si>
  <si>
    <t>cougar</t>
  </si>
  <si>
    <t>AMD Ryzen 5 9600x</t>
  </si>
  <si>
    <t>16GB DDR5 RGB</t>
  </si>
  <si>
    <t>M.2 NVMe 480GB De Almacenamiento</t>
  </si>
  <si>
    <t>480GB</t>
  </si>
  <si>
    <t>MSI 24″ IPS FHD 1ms-144Hz</t>
  </si>
  <si>
    <t>EVC MK102R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</si>
</sst>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#,##0.00"/>
    <numFmt numFmtId="165" formatCode="&quot;$&quot;#,##0"/>
  </numFmts>
  <fonts count="25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8"/>
      <color rgb="FF000000"/>
      <name val="&quot;Trebuchet MS&quot;"/>
    </font>
    <font>
      <b/>
      <sz val="10"/>
      <color rgb="FF000000"/>
      <name val="&quot;Trebuchet MS&quot;"/>
    </font>
    <font>
      <i/>
      <sz val="10"/>
      <color rgb="FF000000"/>
      <name val="Arial"/>
    </font>
    <font>
      <sz val="10"/>
      <color rgb="FF000000"/>
      <name val="&quot;Trebuchet MS&quot;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231F20"/>
      <name val="&quot;Trebuchet MS&quot;"/>
    </font>
    <font>
      <u/>
      <sz val="10"/>
      <color rgb="FF0000FF"/>
      <name val="&quot;Trebuchet MS&quot;"/>
    </font>
    <font>
      <u/>
      <sz val="10"/>
      <color rgb="FF000000"/>
      <name val="&quot;Trebuchet MS&quot;"/>
    </font>
    <font>
      <sz val="10"/>
      <color theme="1"/>
      <name val="&quot;Trebuchet MS&quot;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rgb="FFFFFFFF"/>
      <name val="Calibri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Lato"/>
    </font>
    <font>
      <sz val="11"/>
      <color rgb="FF444444"/>
      <name val="Poppins"/>
    </font>
    <font>
      <sz val="10"/>
      <color rgb="FF333333"/>
      <name val="Lato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AEAAAA"/>
        <bgColor rgb="FFAEAAAA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1" fillId="0" borderId="0" xfId="0" applyFont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3" fillId="0" borderId="4" xfId="0" applyFont="1" applyBorder="1"/>
    <xf numFmtId="0" fontId="8" fillId="0" borderId="2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3" fillId="0" borderId="8" xfId="0" applyFont="1" applyBorder="1"/>
    <xf numFmtId="0" fontId="10" fillId="0" borderId="0" xfId="0" applyFont="1"/>
    <xf numFmtId="164" fontId="10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vertical="top"/>
    </xf>
    <xf numFmtId="164" fontId="10" fillId="0" borderId="4" xfId="0" applyNumberFormat="1" applyFont="1" applyBorder="1"/>
    <xf numFmtId="164" fontId="10" fillId="0" borderId="0" xfId="0" applyNumberFormat="1" applyFont="1"/>
    <xf numFmtId="164" fontId="14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165" fontId="10" fillId="0" borderId="0" xfId="0" applyNumberFormat="1" applyFont="1"/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6" fillId="6" borderId="10" xfId="0" applyFont="1" applyFill="1" applyBorder="1"/>
    <xf numFmtId="0" fontId="15" fillId="0" borderId="4" xfId="0" applyFont="1" applyBorder="1"/>
    <xf numFmtId="164" fontId="17" fillId="0" borderId="4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right"/>
    </xf>
    <xf numFmtId="164" fontId="15" fillId="0" borderId="8" xfId="0" applyNumberFormat="1" applyFont="1" applyBorder="1"/>
    <xf numFmtId="164" fontId="15" fillId="0" borderId="4" xfId="0" applyNumberFormat="1" applyFont="1" applyBorder="1"/>
    <xf numFmtId="0" fontId="15" fillId="0" borderId="8" xfId="0" applyFont="1" applyBorder="1"/>
    <xf numFmtId="0" fontId="16" fillId="7" borderId="8" xfId="0" applyFont="1" applyFill="1" applyBorder="1"/>
    <xf numFmtId="0" fontId="18" fillId="8" borderId="4" xfId="0" applyFont="1" applyFill="1" applyBorder="1" applyAlignment="1">
      <alignment horizontal="center"/>
    </xf>
    <xf numFmtId="0" fontId="15" fillId="9" borderId="4" xfId="0" applyFont="1" applyFill="1" applyBorder="1"/>
    <xf numFmtId="0" fontId="15" fillId="10" borderId="4" xfId="0" applyFont="1" applyFill="1" applyBorder="1"/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right"/>
    </xf>
    <xf numFmtId="0" fontId="15" fillId="10" borderId="4" xfId="0" applyFont="1" applyFill="1" applyBorder="1" applyAlignment="1">
      <alignment horizontal="left"/>
    </xf>
    <xf numFmtId="164" fontId="15" fillId="10" borderId="4" xfId="0" applyNumberFormat="1" applyFont="1" applyFill="1" applyBorder="1"/>
    <xf numFmtId="0" fontId="15" fillId="11" borderId="10" xfId="0" applyFont="1" applyFill="1" applyBorder="1"/>
    <xf numFmtId="0" fontId="15" fillId="10" borderId="4" xfId="0" applyFont="1" applyFill="1" applyBorder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5" fillId="5" borderId="9" xfId="0" applyFont="1" applyFill="1" applyBorder="1" applyAlignment="1">
      <alignment horizontal="center"/>
    </xf>
    <xf numFmtId="0" fontId="2" fillId="0" borderId="10" xfId="0" applyFont="1" applyBorder="1"/>
    <xf numFmtId="0" fontId="15" fillId="11" borderId="9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3" fontId="15" fillId="0" borderId="4" xfId="0" applyNumberFormat="1" applyFont="1" applyBorder="1"/>
    <xf numFmtId="6" fontId="16" fillId="7" borderId="10" xfId="0" applyNumberFormat="1" applyFont="1" applyFill="1" applyBorder="1"/>
    <xf numFmtId="6" fontId="15" fillId="0" borderId="4" xfId="0" applyNumberFormat="1" applyFont="1" applyBorder="1"/>
    <xf numFmtId="0" fontId="20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2" fillId="13" borderId="11" xfId="0" applyFont="1" applyFill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12" borderId="17" xfId="0" applyFont="1" applyFill="1" applyBorder="1" applyAlignment="1">
      <alignment horizontal="center" wrapText="1"/>
    </xf>
    <xf numFmtId="0" fontId="20" fillId="12" borderId="18" xfId="0" applyFont="1" applyFill="1" applyBorder="1" applyAlignment="1">
      <alignment horizontal="center" wrapText="1"/>
    </xf>
    <xf numFmtId="0" fontId="23" fillId="13" borderId="11" xfId="0" applyFont="1" applyFill="1" applyBorder="1" applyAlignment="1">
      <alignment wrapText="1"/>
    </xf>
    <xf numFmtId="0" fontId="24" fillId="1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eedlogic.com.co/tienda/computadores-de-escritorio/computador-amd-ryzen-5-5600gt-16gb-ddr4-rgb-de-ram-m-2-nvme-512gb-de-almacenamiento-monitor-asus-24%e2%80%b3-ips-fhd-1ms-120hz/" TargetMode="External"/><Relationship Id="rId2" Type="http://schemas.openxmlformats.org/officeDocument/2006/relationships/hyperlink" Target="https://www.falabella.com.co/falabella-co/product/143931802/todo-en-uno-lenovo-amd-ryzen-7-7730u-24gb-ram-512gb-ssd-238-fhd/143931804" TargetMode="External"/><Relationship Id="rId1" Type="http://schemas.openxmlformats.org/officeDocument/2006/relationships/hyperlink" Target="https://www.falabella.com.co/falabella-co/product/151770820/lenovo-thinkcentre-neo-50q-i5-8gb-256gb-monitor-24-fhd/151770821" TargetMode="External"/><Relationship Id="rId4" Type="http://schemas.openxmlformats.org/officeDocument/2006/relationships/hyperlink" Target="https://www.falabella.com.co/falabella-co/product/143931802/todo-en-uno-lenovo-amd-ryzen-7-7730u-24gb-ram-512gb-ssd-238-fhd/1439318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L17"/>
  <sheetViews>
    <sheetView workbookViewId="0">
      <selection activeCell="C17" sqref="C17"/>
    </sheetView>
  </sheetViews>
  <sheetFormatPr baseColWidth="10" defaultColWidth="12.6640625" defaultRowHeight="15.75" customHeight="1"/>
  <cols>
    <col min="2" max="2" width="26.44140625" customWidth="1"/>
    <col min="3" max="3" width="58.77734375" customWidth="1"/>
    <col min="4" max="4" width="24.44140625" customWidth="1"/>
    <col min="5" max="5" width="14.33203125" customWidth="1"/>
    <col min="6" max="6" width="92.88671875" customWidth="1"/>
    <col min="8" max="8" width="18.44140625" customWidth="1"/>
    <col min="11" max="11" width="20.44140625" customWidth="1"/>
  </cols>
  <sheetData>
    <row r="4" spans="1:12" ht="15.75" customHeight="1">
      <c r="A4" s="52" t="s">
        <v>0</v>
      </c>
      <c r="B4" s="53"/>
      <c r="C4" s="53"/>
      <c r="D4" s="53"/>
      <c r="E4" s="53"/>
      <c r="F4" s="54"/>
      <c r="G4" s="1"/>
    </row>
    <row r="5" spans="1:12" ht="13.2">
      <c r="A5" s="1"/>
      <c r="B5" s="1"/>
      <c r="C5" s="1"/>
      <c r="D5" s="1"/>
      <c r="E5" s="1"/>
      <c r="F5" s="1"/>
      <c r="G5" s="1"/>
    </row>
    <row r="6" spans="1:12" ht="13.2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  <c r="F6" s="4" t="s">
        <v>6</v>
      </c>
      <c r="G6" s="7"/>
    </row>
    <row r="7" spans="1:12" ht="13.2">
      <c r="A7" s="8" t="s">
        <v>7</v>
      </c>
      <c r="B7" s="9" t="s">
        <v>8</v>
      </c>
      <c r="C7" s="10" t="s">
        <v>9</v>
      </c>
      <c r="D7" s="11" t="s">
        <v>10</v>
      </c>
      <c r="E7" s="9" t="s">
        <v>11</v>
      </c>
      <c r="F7" s="12" t="s">
        <v>12</v>
      </c>
      <c r="G7" s="1"/>
    </row>
    <row r="8" spans="1:12" ht="13.2">
      <c r="A8" s="8" t="s">
        <v>13</v>
      </c>
      <c r="B8" s="13" t="s">
        <v>14</v>
      </c>
      <c r="C8" s="14" t="s">
        <v>15</v>
      </c>
      <c r="D8" s="9" t="s">
        <v>16</v>
      </c>
      <c r="E8" s="9" t="s">
        <v>11</v>
      </c>
      <c r="F8" s="15" t="s">
        <v>17</v>
      </c>
      <c r="G8" s="1"/>
    </row>
    <row r="9" spans="1:12" ht="13.2">
      <c r="A9" s="8" t="s">
        <v>18</v>
      </c>
      <c r="B9" s="16" t="s">
        <v>19</v>
      </c>
      <c r="C9" s="14" t="s">
        <v>20</v>
      </c>
      <c r="D9" s="9" t="s">
        <v>21</v>
      </c>
      <c r="E9" s="9" t="s">
        <v>11</v>
      </c>
      <c r="F9" s="15" t="s">
        <v>22</v>
      </c>
      <c r="G9" s="1"/>
    </row>
    <row r="10" spans="1:12" ht="13.2">
      <c r="A10" s="8" t="s">
        <v>23</v>
      </c>
      <c r="B10" s="17" t="s">
        <v>24</v>
      </c>
      <c r="C10" s="14" t="s">
        <v>15</v>
      </c>
      <c r="D10" s="9" t="s">
        <v>16</v>
      </c>
      <c r="E10" s="9" t="s">
        <v>11</v>
      </c>
      <c r="F10" s="15" t="s">
        <v>17</v>
      </c>
      <c r="G10" s="1"/>
    </row>
    <row r="11" spans="1:12" ht="13.2">
      <c r="A11" s="18"/>
      <c r="B11" s="17"/>
      <c r="C11" s="19"/>
      <c r="D11" s="17"/>
      <c r="E11" s="17"/>
      <c r="F11" s="20"/>
      <c r="G11" s="1"/>
    </row>
    <row r="12" spans="1:12" ht="13.2">
      <c r="A12" s="2" t="s">
        <v>1</v>
      </c>
      <c r="B12" s="3" t="s">
        <v>2</v>
      </c>
      <c r="C12" s="4" t="s">
        <v>25</v>
      </c>
      <c r="D12" s="5" t="s">
        <v>26</v>
      </c>
      <c r="E12" s="6" t="s">
        <v>27</v>
      </c>
      <c r="F12" s="4" t="s">
        <v>28</v>
      </c>
      <c r="G12" s="21" t="s">
        <v>29</v>
      </c>
      <c r="H12" s="21" t="s">
        <v>30</v>
      </c>
      <c r="I12" s="21" t="s">
        <v>31</v>
      </c>
      <c r="J12" s="21" t="s">
        <v>32</v>
      </c>
      <c r="K12" s="21" t="s">
        <v>33</v>
      </c>
      <c r="L12" s="21" t="s">
        <v>34</v>
      </c>
    </row>
    <row r="13" spans="1:12" ht="13.2">
      <c r="A13" s="8" t="s">
        <v>7</v>
      </c>
      <c r="B13" s="9" t="s">
        <v>8</v>
      </c>
      <c r="C13" s="22">
        <v>1750905</v>
      </c>
      <c r="D13" s="22">
        <v>249095</v>
      </c>
      <c r="E13" s="23">
        <v>148827</v>
      </c>
      <c r="F13" s="24">
        <v>210108</v>
      </c>
      <c r="G13" s="25">
        <v>9014</v>
      </c>
      <c r="H13" s="25">
        <v>70036</v>
      </c>
      <c r="I13" s="25">
        <v>145873</v>
      </c>
      <c r="J13" s="25">
        <v>145873</v>
      </c>
      <c r="K13" s="25">
        <v>17509</v>
      </c>
      <c r="L13" s="25">
        <f t="shared" ref="L13:L14" si="0">SUM(C13:K13)</f>
        <v>2747240</v>
      </c>
    </row>
    <row r="14" spans="1:12" ht="13.2">
      <c r="A14" s="8" t="s">
        <v>13</v>
      </c>
      <c r="B14" s="13" t="s">
        <v>14</v>
      </c>
      <c r="C14" s="26">
        <v>2200000</v>
      </c>
      <c r="D14" s="23">
        <v>249095</v>
      </c>
      <c r="E14" s="23">
        <v>187000</v>
      </c>
      <c r="F14" s="27">
        <v>264000</v>
      </c>
      <c r="G14" s="25">
        <v>11484</v>
      </c>
      <c r="H14" s="25">
        <v>88000</v>
      </c>
      <c r="I14" s="25">
        <v>204000</v>
      </c>
      <c r="J14" s="25">
        <v>204000</v>
      </c>
      <c r="K14" s="25">
        <v>24049</v>
      </c>
      <c r="L14" s="25">
        <f t="shared" si="0"/>
        <v>3431628</v>
      </c>
    </row>
    <row r="15" spans="1:12" ht="13.2">
      <c r="A15" s="8" t="s">
        <v>18</v>
      </c>
      <c r="B15" s="16" t="s">
        <v>19</v>
      </c>
      <c r="C15" s="26">
        <v>4000000</v>
      </c>
      <c r="D15" s="9" t="s">
        <v>35</v>
      </c>
      <c r="E15" s="28">
        <v>340000</v>
      </c>
      <c r="F15" s="27">
        <v>480000</v>
      </c>
      <c r="G15" s="25">
        <v>20000</v>
      </c>
      <c r="H15" s="25">
        <v>160000</v>
      </c>
      <c r="I15" s="25">
        <v>333200</v>
      </c>
      <c r="J15" s="29" t="s">
        <v>36</v>
      </c>
      <c r="K15" s="30">
        <v>40000</v>
      </c>
      <c r="L15" s="25">
        <v>4886400</v>
      </c>
    </row>
    <row r="16" spans="1:12" ht="13.2">
      <c r="A16" s="8" t="s">
        <v>23</v>
      </c>
      <c r="B16" s="17" t="s">
        <v>24</v>
      </c>
      <c r="C16" s="26">
        <v>2500000</v>
      </c>
      <c r="D16" s="23" t="s">
        <v>37</v>
      </c>
      <c r="E16" s="9" t="s">
        <v>38</v>
      </c>
      <c r="F16" s="27">
        <v>300000</v>
      </c>
      <c r="G16" s="25">
        <v>12500</v>
      </c>
      <c r="H16" s="25">
        <v>100000</v>
      </c>
      <c r="I16" s="25">
        <v>208250</v>
      </c>
      <c r="J16" s="25">
        <v>208250</v>
      </c>
      <c r="K16" s="25">
        <v>25000</v>
      </c>
      <c r="L16" s="25">
        <v>3216000</v>
      </c>
    </row>
    <row r="17" spans="1:6" ht="13.2">
      <c r="A17" s="18"/>
      <c r="B17" s="17"/>
      <c r="C17" s="19"/>
      <c r="D17" s="17"/>
      <c r="E17" s="17"/>
      <c r="F17" s="20"/>
    </row>
  </sheetData>
  <mergeCells count="1">
    <mergeCell ref="A4:F4"/>
  </mergeCells>
  <hyperlinks>
    <hyperlink ref="C7" r:id="rId1" xr:uid="{00000000-0004-0000-0000-000000000000}"/>
    <hyperlink ref="C8" r:id="rId2" xr:uid="{00000000-0004-0000-0000-000001000000}"/>
    <hyperlink ref="C9" r:id="rId3" xr:uid="{00000000-0004-0000-0000-000002000000}"/>
    <hyperlink ref="C1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8"/>
  <sheetViews>
    <sheetView topLeftCell="D1" workbookViewId="0">
      <selection activeCell="J13" sqref="J13"/>
    </sheetView>
  </sheetViews>
  <sheetFormatPr baseColWidth="10" defaultColWidth="12.6640625" defaultRowHeight="15.75" customHeight="1"/>
  <cols>
    <col min="1" max="1" width="21.44140625" customWidth="1"/>
    <col min="2" max="2" width="20.6640625" customWidth="1"/>
    <col min="3" max="3" width="21.44140625" customWidth="1"/>
    <col min="4" max="4" width="18.44140625" customWidth="1"/>
    <col min="9" max="9" width="18.88671875" customWidth="1"/>
    <col min="10" max="10" width="20.21875" customWidth="1"/>
    <col min="11" max="11" width="24.109375" customWidth="1"/>
    <col min="12" max="12" width="24.44140625" customWidth="1"/>
    <col min="14" max="14" width="18.6640625" customWidth="1"/>
  </cols>
  <sheetData>
    <row r="1" spans="1:14" ht="15.75" customHeight="1">
      <c r="A1" s="55" t="s">
        <v>39</v>
      </c>
      <c r="B1" s="55" t="s">
        <v>40</v>
      </c>
      <c r="C1" s="55" t="s">
        <v>41</v>
      </c>
      <c r="E1" s="58" t="s">
        <v>42</v>
      </c>
      <c r="F1" s="53"/>
      <c r="G1" s="54"/>
      <c r="H1" s="58" t="s">
        <v>43</v>
      </c>
      <c r="I1" s="53"/>
      <c r="J1" s="53"/>
      <c r="K1" s="54"/>
      <c r="L1" s="31"/>
      <c r="M1" s="55" t="s">
        <v>34</v>
      </c>
      <c r="N1" s="55" t="s">
        <v>44</v>
      </c>
    </row>
    <row r="2" spans="1:14" ht="15.75" customHeight="1">
      <c r="A2" s="56"/>
      <c r="B2" s="56"/>
      <c r="C2" s="56"/>
      <c r="D2" s="21" t="s">
        <v>45</v>
      </c>
      <c r="E2" s="32" t="s">
        <v>46</v>
      </c>
      <c r="F2" s="32" t="s">
        <v>47</v>
      </c>
      <c r="G2" s="32" t="s">
        <v>48</v>
      </c>
      <c r="H2" s="32" t="s">
        <v>49</v>
      </c>
      <c r="I2" s="32" t="s">
        <v>50</v>
      </c>
      <c r="J2" s="32" t="s">
        <v>51</v>
      </c>
      <c r="K2" s="32" t="s">
        <v>52</v>
      </c>
      <c r="L2" s="32" t="s">
        <v>53</v>
      </c>
      <c r="M2" s="56"/>
      <c r="N2" s="56"/>
    </row>
    <row r="3" spans="1:14" ht="15.75" customHeight="1">
      <c r="A3" s="33" t="s">
        <v>54</v>
      </c>
      <c r="B3" s="34" t="s">
        <v>68</v>
      </c>
      <c r="C3" s="22" t="s">
        <v>67</v>
      </c>
      <c r="D3" s="35">
        <v>162000</v>
      </c>
      <c r="E3" s="24">
        <v>264000</v>
      </c>
      <c r="F3" s="23">
        <v>187000</v>
      </c>
      <c r="G3" s="25">
        <v>11484</v>
      </c>
      <c r="H3" s="25">
        <v>183260</v>
      </c>
      <c r="I3" s="25">
        <v>183260</v>
      </c>
      <c r="J3" s="36">
        <v>22000</v>
      </c>
      <c r="K3" s="36">
        <v>91740</v>
      </c>
      <c r="L3" s="25">
        <v>88000</v>
      </c>
      <c r="M3" s="59">
        <v>3392744</v>
      </c>
      <c r="N3" s="37">
        <v>21204</v>
      </c>
    </row>
    <row r="4" spans="1:14" ht="15.75" customHeight="1">
      <c r="A4" s="33" t="s">
        <v>55</v>
      </c>
      <c r="B4" s="34" t="s">
        <v>68</v>
      </c>
      <c r="C4" s="60">
        <v>3000000</v>
      </c>
      <c r="D4" s="59"/>
      <c r="E4" s="38">
        <v>255000</v>
      </c>
      <c r="F4" s="38">
        <v>255000</v>
      </c>
      <c r="G4" s="38">
        <v>15660</v>
      </c>
      <c r="H4" s="38">
        <v>249900</v>
      </c>
      <c r="I4" s="38">
        <v>249900</v>
      </c>
      <c r="J4" s="38">
        <v>30000</v>
      </c>
      <c r="K4" s="38">
        <v>125100</v>
      </c>
      <c r="L4" s="38">
        <v>120000</v>
      </c>
      <c r="M4" s="61">
        <v>4405560</v>
      </c>
      <c r="N4" s="37">
        <v>27534</v>
      </c>
    </row>
    <row r="5" spans="1:14" ht="15.75" customHeight="1">
      <c r="A5" s="33" t="s">
        <v>56</v>
      </c>
      <c r="B5" s="34" t="s">
        <v>68</v>
      </c>
      <c r="C5" s="60">
        <v>6000000</v>
      </c>
      <c r="D5" s="34"/>
      <c r="E5" s="38">
        <v>720000</v>
      </c>
      <c r="F5" s="38">
        <v>510000</v>
      </c>
      <c r="G5" s="38">
        <v>31320</v>
      </c>
      <c r="H5" s="38">
        <v>499800</v>
      </c>
      <c r="I5" s="38">
        <v>499800</v>
      </c>
      <c r="J5" s="38">
        <v>60000</v>
      </c>
      <c r="K5" s="38">
        <v>250200</v>
      </c>
      <c r="L5" s="38">
        <v>240000</v>
      </c>
      <c r="M5" s="61">
        <v>8811120</v>
      </c>
      <c r="N5" s="37">
        <v>55069</v>
      </c>
    </row>
    <row r="6" spans="1:14" ht="15.75" customHeight="1">
      <c r="A6" s="33" t="s">
        <v>57</v>
      </c>
      <c r="B6" s="39" t="s">
        <v>69</v>
      </c>
      <c r="C6" s="40" t="s">
        <v>70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7"/>
    </row>
    <row r="8" spans="1:14" ht="15.75" customHeight="1">
      <c r="E8" s="41" t="s">
        <v>58</v>
      </c>
      <c r="F8" s="41" t="s">
        <v>59</v>
      </c>
    </row>
    <row r="9" spans="1:14" ht="15.75" customHeight="1">
      <c r="E9" s="42" t="s">
        <v>54</v>
      </c>
      <c r="F9" s="43" t="s">
        <v>67</v>
      </c>
      <c r="L9" s="57"/>
    </row>
    <row r="10" spans="1:14" ht="15.75" customHeight="1">
      <c r="E10" s="44" t="s">
        <v>60</v>
      </c>
      <c r="F10" s="45">
        <v>160</v>
      </c>
      <c r="L10" s="56"/>
    </row>
    <row r="11" spans="1:14" ht="15.75" customHeight="1">
      <c r="E11" s="46" t="s">
        <v>61</v>
      </c>
      <c r="F11" s="47">
        <v>21.2</v>
      </c>
      <c r="L11" s="48" t="s">
        <v>62</v>
      </c>
    </row>
    <row r="12" spans="1:14" ht="15.75" customHeight="1">
      <c r="E12" s="44" t="s">
        <v>63</v>
      </c>
      <c r="F12" s="45"/>
      <c r="L12" s="48" t="s">
        <v>54</v>
      </c>
    </row>
    <row r="13" spans="1:14" ht="15.75" customHeight="1">
      <c r="E13" s="46" t="s">
        <v>64</v>
      </c>
      <c r="F13" s="49"/>
      <c r="L13" s="48" t="s">
        <v>55</v>
      </c>
    </row>
    <row r="14" spans="1:14" ht="15.75" customHeight="1">
      <c r="E14" s="44" t="s">
        <v>65</v>
      </c>
      <c r="F14" s="45"/>
      <c r="L14" s="48" t="s">
        <v>56</v>
      </c>
    </row>
    <row r="15" spans="1:14" ht="15.75" customHeight="1">
      <c r="E15" s="50"/>
      <c r="F15" s="51"/>
      <c r="L15" s="48" t="s">
        <v>57</v>
      </c>
    </row>
    <row r="16" spans="1:14" ht="15.75" customHeight="1">
      <c r="E16" s="41" t="s">
        <v>58</v>
      </c>
      <c r="F16" s="41" t="s">
        <v>59</v>
      </c>
    </row>
    <row r="17" spans="5:6" ht="15.75" customHeight="1">
      <c r="E17" s="46" t="s">
        <v>66</v>
      </c>
      <c r="F17" s="49" t="s">
        <v>71</v>
      </c>
    </row>
    <row r="18" spans="5:6" ht="15.75" customHeight="1">
      <c r="E18" s="44" t="s">
        <v>60</v>
      </c>
      <c r="F18" s="45">
        <v>160</v>
      </c>
    </row>
    <row r="19" spans="5:6" ht="15.75" customHeight="1">
      <c r="E19" s="46" t="s">
        <v>61</v>
      </c>
      <c r="F19" s="49">
        <v>27.5</v>
      </c>
    </row>
    <row r="20" spans="5:6" ht="15.75" customHeight="1">
      <c r="E20" s="44" t="s">
        <v>63</v>
      </c>
      <c r="F20" s="45"/>
    </row>
    <row r="21" spans="5:6" ht="15.75" customHeight="1">
      <c r="E21" s="46" t="s">
        <v>64</v>
      </c>
      <c r="F21" s="49"/>
    </row>
    <row r="22" spans="5:6" ht="15.75" customHeight="1">
      <c r="E22" s="44" t="s">
        <v>65</v>
      </c>
      <c r="F22" s="45"/>
    </row>
    <row r="23" spans="5:6" ht="15.75" customHeight="1">
      <c r="E23" s="50"/>
      <c r="F23" s="51"/>
    </row>
    <row r="24" spans="5:6" ht="15.75" customHeight="1">
      <c r="E24" s="41" t="s">
        <v>58</v>
      </c>
      <c r="F24" s="41" t="s">
        <v>59</v>
      </c>
    </row>
    <row r="25" spans="5:6" ht="15.75" customHeight="1">
      <c r="E25" s="42" t="s">
        <v>56</v>
      </c>
      <c r="F25" s="43" t="s">
        <v>72</v>
      </c>
    </row>
    <row r="26" spans="5:6" ht="15.75" customHeight="1">
      <c r="E26" s="44" t="s">
        <v>60</v>
      </c>
      <c r="F26" s="45">
        <v>160</v>
      </c>
    </row>
    <row r="27" spans="5:6" ht="15.75" customHeight="1">
      <c r="E27" s="46" t="s">
        <v>61</v>
      </c>
      <c r="F27" s="49">
        <v>55</v>
      </c>
    </row>
    <row r="28" spans="5:6" ht="14.4">
      <c r="E28" s="44" t="s">
        <v>63</v>
      </c>
      <c r="F28" s="45"/>
    </row>
    <row r="29" spans="5:6" ht="14.4">
      <c r="E29" s="46" t="s">
        <v>64</v>
      </c>
      <c r="F29" s="49"/>
    </row>
    <row r="30" spans="5:6" ht="14.4">
      <c r="E30" s="44" t="s">
        <v>65</v>
      </c>
      <c r="F30" s="45"/>
    </row>
    <row r="31" spans="5:6" ht="14.4">
      <c r="E31" s="50"/>
      <c r="F31" s="51"/>
    </row>
    <row r="32" spans="5:6" ht="14.4">
      <c r="E32" s="41" t="s">
        <v>58</v>
      </c>
      <c r="F32" s="41" t="s">
        <v>59</v>
      </c>
    </row>
    <row r="33" spans="5:6" ht="14.4">
      <c r="E33" s="42" t="s">
        <v>57</v>
      </c>
      <c r="F33" s="43" t="s">
        <v>70</v>
      </c>
    </row>
    <row r="34" spans="5:6" ht="14.4">
      <c r="E34" s="44" t="s">
        <v>60</v>
      </c>
      <c r="F34" s="45">
        <v>160</v>
      </c>
    </row>
    <row r="35" spans="5:6" ht="14.4">
      <c r="E35" s="46" t="s">
        <v>61</v>
      </c>
      <c r="F35" s="49">
        <v>16</v>
      </c>
    </row>
    <row r="36" spans="5:6" ht="14.4">
      <c r="E36" s="44" t="s">
        <v>63</v>
      </c>
      <c r="F36" s="45"/>
    </row>
    <row r="37" spans="5:6" ht="14.4">
      <c r="E37" s="46" t="s">
        <v>64</v>
      </c>
      <c r="F37" s="49"/>
    </row>
    <row r="38" spans="5:6" ht="14.4">
      <c r="E38" s="44" t="s">
        <v>65</v>
      </c>
      <c r="F38" s="45"/>
    </row>
  </sheetData>
  <mergeCells count="8">
    <mergeCell ref="M1:M2"/>
    <mergeCell ref="N1:N2"/>
    <mergeCell ref="L9:L10"/>
    <mergeCell ref="A1:A2"/>
    <mergeCell ref="B1:B2"/>
    <mergeCell ref="C1:C2"/>
    <mergeCell ref="E1:G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9"/>
  <sheetViews>
    <sheetView tabSelected="1" workbookViewId="0">
      <selection activeCell="B24" sqref="B24"/>
    </sheetView>
  </sheetViews>
  <sheetFormatPr baseColWidth="10" defaultColWidth="12.6640625" defaultRowHeight="15.75" customHeight="1"/>
  <cols>
    <col min="1" max="1" width="38.6640625" customWidth="1"/>
    <col min="2" max="2" width="90.33203125" customWidth="1"/>
  </cols>
  <sheetData>
    <row r="1" spans="1:2" ht="63" customHeight="1" thickBot="1">
      <c r="A1" s="67" t="s">
        <v>73</v>
      </c>
      <c r="B1" s="68"/>
    </row>
    <row r="2" spans="1:2" ht="15.75" customHeight="1" thickBot="1">
      <c r="A2" s="69" t="s">
        <v>74</v>
      </c>
      <c r="B2" s="70"/>
    </row>
    <row r="3" spans="1:2" ht="15.75" customHeight="1" thickBot="1">
      <c r="A3" s="62" t="s">
        <v>75</v>
      </c>
      <c r="B3" s="63" t="s">
        <v>9</v>
      </c>
    </row>
    <row r="4" spans="1:2" ht="15.75" customHeight="1" thickBot="1">
      <c r="A4" s="62" t="s">
        <v>76</v>
      </c>
      <c r="B4" s="63" t="s">
        <v>77</v>
      </c>
    </row>
    <row r="5" spans="1:2" ht="15.75" customHeight="1" thickBot="1">
      <c r="A5" s="62" t="s">
        <v>78</v>
      </c>
      <c r="B5" s="63" t="s">
        <v>79</v>
      </c>
    </row>
    <row r="6" spans="1:2" ht="15.75" customHeight="1" thickBot="1">
      <c r="A6" s="62" t="s">
        <v>80</v>
      </c>
      <c r="B6" s="63" t="s">
        <v>81</v>
      </c>
    </row>
    <row r="7" spans="1:2" ht="15.75" customHeight="1" thickBot="1">
      <c r="A7" s="69" t="s">
        <v>82</v>
      </c>
      <c r="B7" s="70"/>
    </row>
    <row r="8" spans="1:2" ht="15.75" customHeight="1" thickBot="1">
      <c r="A8" s="62" t="s">
        <v>83</v>
      </c>
      <c r="B8" s="63" t="s">
        <v>84</v>
      </c>
    </row>
    <row r="9" spans="1:2" ht="15.75" customHeight="1" thickBot="1">
      <c r="A9" s="62" t="s">
        <v>85</v>
      </c>
      <c r="B9" s="63" t="s">
        <v>86</v>
      </c>
    </row>
    <row r="10" spans="1:2" ht="15.75" customHeight="1" thickBot="1">
      <c r="A10" s="62" t="s">
        <v>87</v>
      </c>
      <c r="B10" s="63" t="s">
        <v>88</v>
      </c>
    </row>
    <row r="11" spans="1:2" ht="15.75" customHeight="1" thickBot="1">
      <c r="A11" s="62" t="s">
        <v>89</v>
      </c>
      <c r="B11" s="64" t="s">
        <v>90</v>
      </c>
    </row>
    <row r="12" spans="1:2" ht="15.75" customHeight="1" thickBot="1">
      <c r="A12" s="62" t="s">
        <v>91</v>
      </c>
      <c r="B12" s="63" t="s">
        <v>92</v>
      </c>
    </row>
    <row r="13" spans="1:2" ht="15.75" customHeight="1" thickBot="1">
      <c r="A13" s="65"/>
      <c r="B13" s="63"/>
    </row>
    <row r="14" spans="1:2" ht="15.75" customHeight="1" thickBot="1">
      <c r="A14" s="69" t="s">
        <v>93</v>
      </c>
      <c r="B14" s="70"/>
    </row>
    <row r="15" spans="1:2" ht="15.75" customHeight="1" thickBot="1">
      <c r="A15" s="62" t="s">
        <v>94</v>
      </c>
      <c r="B15" s="63" t="s">
        <v>95</v>
      </c>
    </row>
    <row r="16" spans="1:2" ht="15.75" customHeight="1" thickBot="1">
      <c r="A16" s="62" t="s">
        <v>96</v>
      </c>
      <c r="B16" s="63"/>
    </row>
    <row r="17" spans="1:2" ht="15.75" customHeight="1" thickBot="1">
      <c r="A17" s="62" t="s">
        <v>97</v>
      </c>
      <c r="B17" s="63"/>
    </row>
    <row r="18" spans="1:2" ht="15.75" customHeight="1" thickBot="1">
      <c r="A18" s="65"/>
      <c r="B18" s="63"/>
    </row>
    <row r="19" spans="1:2" ht="15.75" customHeight="1" thickBot="1">
      <c r="A19" s="69" t="s">
        <v>98</v>
      </c>
      <c r="B19" s="70"/>
    </row>
    <row r="20" spans="1:2" ht="15.75" customHeight="1" thickBot="1">
      <c r="A20" s="62" t="s">
        <v>99</v>
      </c>
      <c r="B20" s="63" t="s">
        <v>100</v>
      </c>
    </row>
    <row r="21" spans="1:2" ht="15.75" customHeight="1" thickBot="1">
      <c r="A21" s="62" t="s">
        <v>101</v>
      </c>
      <c r="B21" s="63" t="s">
        <v>77</v>
      </c>
    </row>
    <row r="22" spans="1:2" ht="15.75" customHeight="1" thickBot="1">
      <c r="A22" s="62" t="s">
        <v>102</v>
      </c>
      <c r="B22" s="63" t="s">
        <v>77</v>
      </c>
    </row>
    <row r="23" spans="1:2" ht="15.75" customHeight="1" thickBot="1">
      <c r="A23" s="62" t="s">
        <v>103</v>
      </c>
      <c r="B23" s="63"/>
    </row>
    <row r="24" spans="1:2" ht="15.75" customHeight="1" thickBot="1">
      <c r="A24" s="65"/>
      <c r="B24" s="63"/>
    </row>
    <row r="25" spans="1:2" ht="15.75" customHeight="1" thickBot="1">
      <c r="A25" s="69" t="s">
        <v>104</v>
      </c>
      <c r="B25" s="70"/>
    </row>
    <row r="26" spans="1:2" ht="15.75" customHeight="1" thickBot="1">
      <c r="A26" s="62" t="s">
        <v>105</v>
      </c>
      <c r="B26" s="63"/>
    </row>
    <row r="27" spans="1:2" ht="15.75" customHeight="1" thickBot="1">
      <c r="A27" s="62" t="s">
        <v>106</v>
      </c>
      <c r="B27" s="63"/>
    </row>
    <row r="28" spans="1:2" ht="15.75" customHeight="1" thickBot="1">
      <c r="A28" s="62" t="s">
        <v>107</v>
      </c>
      <c r="B28" s="63" t="s">
        <v>108</v>
      </c>
    </row>
    <row r="29" spans="1:2" ht="15.75" customHeight="1" thickBot="1">
      <c r="A29" s="62" t="s">
        <v>109</v>
      </c>
      <c r="B29" s="63"/>
    </row>
    <row r="30" spans="1:2" ht="15.75" customHeight="1" thickBot="1">
      <c r="A30" s="62" t="s">
        <v>110</v>
      </c>
      <c r="B30" s="63" t="s">
        <v>111</v>
      </c>
    </row>
    <row r="31" spans="1:2" ht="15.75" customHeight="1" thickBot="1">
      <c r="A31" s="69" t="s">
        <v>112</v>
      </c>
      <c r="B31" s="70"/>
    </row>
    <row r="32" spans="1:2" ht="15.75" customHeight="1" thickBot="1">
      <c r="A32" s="62" t="s">
        <v>113</v>
      </c>
      <c r="B32" s="63"/>
    </row>
    <row r="33" spans="1:2" ht="15.75" customHeight="1" thickBot="1">
      <c r="A33" s="62" t="s">
        <v>114</v>
      </c>
      <c r="B33" s="63"/>
    </row>
    <row r="34" spans="1:2" ht="15.75" customHeight="1" thickBot="1">
      <c r="A34" s="62" t="s">
        <v>115</v>
      </c>
      <c r="B34" s="63"/>
    </row>
    <row r="35" spans="1:2" ht="15.75" customHeight="1" thickBot="1">
      <c r="A35" s="62" t="s">
        <v>116</v>
      </c>
      <c r="B35" s="63"/>
    </row>
    <row r="36" spans="1:2" ht="15.75" customHeight="1" thickBot="1">
      <c r="A36" s="62" t="s">
        <v>117</v>
      </c>
      <c r="B36" s="63"/>
    </row>
    <row r="37" spans="1:2" ht="15.75" customHeight="1" thickBot="1">
      <c r="A37" s="62" t="s">
        <v>118</v>
      </c>
      <c r="B37" s="63"/>
    </row>
    <row r="38" spans="1:2" ht="15.75" customHeight="1" thickBot="1">
      <c r="A38" s="66"/>
      <c r="B38" s="66"/>
    </row>
    <row r="39" spans="1:2" ht="15.75" customHeight="1" thickBot="1">
      <c r="A39" s="66"/>
      <c r="B39" s="66"/>
    </row>
  </sheetData>
  <mergeCells count="7">
    <mergeCell ref="A31:B31"/>
    <mergeCell ref="A1:B1"/>
    <mergeCell ref="A2:B2"/>
    <mergeCell ref="A7:B7"/>
    <mergeCell ref="A14:B14"/>
    <mergeCell ref="A19:B19"/>
    <mergeCell ref="A25:B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A13F-CFC4-4061-BAB2-EB677768D092}">
  <dimension ref="A1:B39"/>
  <sheetViews>
    <sheetView workbookViewId="0">
      <selection activeCell="E5" sqref="E5"/>
    </sheetView>
  </sheetViews>
  <sheetFormatPr baseColWidth="10" defaultRowHeight="13.2"/>
  <cols>
    <col min="1" max="1" width="48.5546875" customWidth="1"/>
    <col min="2" max="2" width="60.5546875" customWidth="1"/>
  </cols>
  <sheetData>
    <row r="1" spans="1:2" ht="63" customHeight="1" thickBot="1">
      <c r="A1" s="67" t="s">
        <v>73</v>
      </c>
      <c r="B1" s="68"/>
    </row>
    <row r="2" spans="1:2" ht="15" thickBot="1">
      <c r="A2" s="69" t="s">
        <v>74</v>
      </c>
      <c r="B2" s="70"/>
    </row>
    <row r="3" spans="1:2" ht="151.80000000000001" thickBot="1">
      <c r="A3" s="62" t="s">
        <v>75</v>
      </c>
      <c r="B3" s="64" t="s">
        <v>15</v>
      </c>
    </row>
    <row r="4" spans="1:2" ht="15" thickBot="1">
      <c r="A4" s="62" t="s">
        <v>76</v>
      </c>
      <c r="B4" s="63" t="s">
        <v>119</v>
      </c>
    </row>
    <row r="5" spans="1:2" ht="15" thickBot="1">
      <c r="A5" s="62" t="s">
        <v>78</v>
      </c>
      <c r="B5" s="63" t="s">
        <v>120</v>
      </c>
    </row>
    <row r="6" spans="1:2" ht="43.8" thickBot="1">
      <c r="A6" s="62" t="s">
        <v>80</v>
      </c>
      <c r="B6" s="63" t="s">
        <v>81</v>
      </c>
    </row>
    <row r="7" spans="1:2" ht="15" thickBot="1">
      <c r="A7" s="69" t="s">
        <v>82</v>
      </c>
      <c r="B7" s="70"/>
    </row>
    <row r="8" spans="1:2" ht="130.19999999999999" thickBot="1">
      <c r="A8" s="62" t="s">
        <v>83</v>
      </c>
      <c r="B8" s="63" t="s">
        <v>121</v>
      </c>
    </row>
    <row r="9" spans="1:2" ht="29.4" thickBot="1">
      <c r="A9" s="62" t="s">
        <v>85</v>
      </c>
      <c r="B9" s="63" t="s">
        <v>122</v>
      </c>
    </row>
    <row r="10" spans="1:2" ht="58.2" thickBot="1">
      <c r="A10" s="62" t="s">
        <v>87</v>
      </c>
      <c r="B10" s="63" t="s">
        <v>123</v>
      </c>
    </row>
    <row r="11" spans="1:2" ht="45" thickBot="1">
      <c r="A11" s="62" t="s">
        <v>89</v>
      </c>
      <c r="B11" s="64" t="s">
        <v>124</v>
      </c>
    </row>
    <row r="12" spans="1:2" ht="43.8" thickBot="1">
      <c r="A12" s="62" t="s">
        <v>91</v>
      </c>
      <c r="B12" s="63" t="s">
        <v>125</v>
      </c>
    </row>
    <row r="13" spans="1:2" ht="15" thickBot="1">
      <c r="A13" s="69" t="s">
        <v>93</v>
      </c>
      <c r="B13" s="70"/>
    </row>
    <row r="14" spans="1:2" ht="29.4" thickBot="1">
      <c r="A14" s="62" t="s">
        <v>94</v>
      </c>
      <c r="B14" s="63" t="s">
        <v>126</v>
      </c>
    </row>
    <row r="15" spans="1:2" ht="15" thickBot="1">
      <c r="A15" s="62" t="s">
        <v>96</v>
      </c>
      <c r="B15" s="63"/>
    </row>
    <row r="16" spans="1:2" ht="43.8" thickBot="1">
      <c r="A16" s="62" t="s">
        <v>97</v>
      </c>
      <c r="B16" s="63"/>
    </row>
    <row r="17" spans="1:2" ht="15" thickBot="1">
      <c r="A17" s="65"/>
      <c r="B17" s="63"/>
    </row>
    <row r="18" spans="1:2" ht="15" thickBot="1">
      <c r="A18" s="69" t="s">
        <v>98</v>
      </c>
      <c r="B18" s="70"/>
    </row>
    <row r="19" spans="1:2" ht="15" thickBot="1">
      <c r="A19" s="62" t="s">
        <v>99</v>
      </c>
      <c r="B19" s="63"/>
    </row>
    <row r="20" spans="1:2" ht="58.2" thickBot="1">
      <c r="A20" s="62" t="s">
        <v>101</v>
      </c>
      <c r="B20" s="63" t="s">
        <v>127</v>
      </c>
    </row>
    <row r="21" spans="1:2" ht="67.8" thickBot="1">
      <c r="A21" s="62" t="s">
        <v>102</v>
      </c>
      <c r="B21" s="64" t="s">
        <v>128</v>
      </c>
    </row>
    <row r="22" spans="1:2" ht="29.4" thickBot="1">
      <c r="A22" s="62" t="s">
        <v>103</v>
      </c>
      <c r="B22" s="63" t="s">
        <v>129</v>
      </c>
    </row>
    <row r="23" spans="1:2" ht="15" thickBot="1">
      <c r="A23" s="65"/>
      <c r="B23" s="63"/>
    </row>
    <row r="24" spans="1:2" ht="15" thickBot="1">
      <c r="A24" s="69" t="s">
        <v>104</v>
      </c>
      <c r="B24" s="70"/>
    </row>
    <row r="25" spans="1:2" ht="15" thickBot="1">
      <c r="A25" s="62" t="s">
        <v>105</v>
      </c>
      <c r="B25" s="63"/>
    </row>
    <row r="26" spans="1:2" ht="29.4" thickBot="1">
      <c r="A26" s="62" t="s">
        <v>106</v>
      </c>
      <c r="B26" s="63"/>
    </row>
    <row r="27" spans="1:2" ht="43.8" thickBot="1">
      <c r="A27" s="62" t="s">
        <v>107</v>
      </c>
      <c r="B27" s="63" t="s">
        <v>130</v>
      </c>
    </row>
    <row r="28" spans="1:2" ht="29.4" thickBot="1">
      <c r="A28" s="62" t="s">
        <v>109</v>
      </c>
      <c r="B28" s="63" t="s">
        <v>131</v>
      </c>
    </row>
    <row r="29" spans="1:2" ht="130.19999999999999" thickBot="1">
      <c r="A29" s="62" t="s">
        <v>110</v>
      </c>
      <c r="B29" s="63" t="s">
        <v>132</v>
      </c>
    </row>
    <row r="30" spans="1:2" ht="15" thickBot="1">
      <c r="A30" s="69" t="s">
        <v>112</v>
      </c>
      <c r="B30" s="70"/>
    </row>
    <row r="31" spans="1:2" ht="29.4" thickBot="1">
      <c r="A31" s="62" t="s">
        <v>113</v>
      </c>
      <c r="B31" s="63"/>
    </row>
    <row r="32" spans="1:2" ht="72.599999999999994" thickBot="1">
      <c r="A32" s="62" t="s">
        <v>114</v>
      </c>
      <c r="B32" s="63" t="s">
        <v>133</v>
      </c>
    </row>
    <row r="33" spans="1:2" ht="15" thickBot="1">
      <c r="A33" s="62" t="s">
        <v>115</v>
      </c>
      <c r="B33" s="63"/>
    </row>
    <row r="34" spans="1:2" ht="15" thickBot="1">
      <c r="A34" s="62" t="s">
        <v>116</v>
      </c>
      <c r="B34" s="63"/>
    </row>
    <row r="35" spans="1:2" ht="43.8" thickBot="1">
      <c r="A35" s="62" t="s">
        <v>117</v>
      </c>
      <c r="B35" s="63"/>
    </row>
    <row r="36" spans="1:2" ht="29.4" thickBot="1">
      <c r="A36" s="62" t="s">
        <v>118</v>
      </c>
      <c r="B36" s="63"/>
    </row>
    <row r="37" spans="1:2" ht="15" thickBot="1">
      <c r="A37" s="66"/>
      <c r="B37" s="66"/>
    </row>
    <row r="38" spans="1:2" ht="15" thickBot="1">
      <c r="A38" s="66"/>
      <c r="B38" s="66"/>
    </row>
    <row r="39" spans="1:2" ht="15" thickBot="1">
      <c r="A39" s="66"/>
      <c r="B39" s="66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69C0-F5A3-4345-939E-6330086A490E}">
  <dimension ref="A1:B36"/>
  <sheetViews>
    <sheetView workbookViewId="0">
      <selection sqref="A1:B36"/>
    </sheetView>
  </sheetViews>
  <sheetFormatPr baseColWidth="10" defaultRowHeight="13.2"/>
  <cols>
    <col min="1" max="1" width="40" customWidth="1"/>
    <col min="2" max="2" width="57" customWidth="1"/>
  </cols>
  <sheetData>
    <row r="1" spans="1:2" ht="63" customHeight="1" thickBot="1">
      <c r="A1" s="67" t="s">
        <v>73</v>
      </c>
      <c r="B1" s="68"/>
    </row>
    <row r="2" spans="1:2" ht="15" thickBot="1">
      <c r="A2" s="69" t="s">
        <v>74</v>
      </c>
      <c r="B2" s="70"/>
    </row>
    <row r="3" spans="1:2" ht="252.6" thickBot="1">
      <c r="A3" s="62" t="s">
        <v>75</v>
      </c>
      <c r="B3" s="64" t="s">
        <v>134</v>
      </c>
    </row>
    <row r="4" spans="1:2" ht="15" thickBot="1">
      <c r="A4" s="62" t="s">
        <v>76</v>
      </c>
      <c r="B4" s="63" t="s">
        <v>135</v>
      </c>
    </row>
    <row r="5" spans="1:2" ht="15" thickBot="1">
      <c r="A5" s="62" t="s">
        <v>78</v>
      </c>
      <c r="B5" s="63"/>
    </row>
    <row r="6" spans="1:2" ht="43.8" thickBot="1">
      <c r="A6" s="62" t="s">
        <v>80</v>
      </c>
      <c r="B6" s="63" t="s">
        <v>81</v>
      </c>
    </row>
    <row r="7" spans="1:2" ht="15" thickBot="1">
      <c r="A7" s="69" t="s">
        <v>82</v>
      </c>
      <c r="B7" s="70"/>
    </row>
    <row r="8" spans="1:2" ht="34.200000000000003" thickBot="1">
      <c r="A8" s="62" t="s">
        <v>83</v>
      </c>
      <c r="B8" s="71" t="s">
        <v>136</v>
      </c>
    </row>
    <row r="9" spans="1:2" ht="29.4" thickBot="1">
      <c r="A9" s="62" t="s">
        <v>85</v>
      </c>
      <c r="B9" s="63" t="s">
        <v>137</v>
      </c>
    </row>
    <row r="10" spans="1:2" ht="58.2" thickBot="1">
      <c r="A10" s="62" t="s">
        <v>87</v>
      </c>
      <c r="B10" s="63" t="s">
        <v>138</v>
      </c>
    </row>
    <row r="11" spans="1:2" ht="45" thickBot="1">
      <c r="A11" s="62" t="s">
        <v>89</v>
      </c>
      <c r="B11" s="64" t="s">
        <v>139</v>
      </c>
    </row>
    <row r="12" spans="1:2" ht="43.8" thickBot="1">
      <c r="A12" s="62" t="s">
        <v>91</v>
      </c>
      <c r="B12" s="63"/>
    </row>
    <row r="13" spans="1:2" ht="15" thickBot="1">
      <c r="A13" s="69" t="s">
        <v>93</v>
      </c>
      <c r="B13" s="70"/>
    </row>
    <row r="14" spans="1:2" ht="43.8" thickBot="1">
      <c r="A14" s="62" t="s">
        <v>94</v>
      </c>
      <c r="B14" s="63" t="s">
        <v>95</v>
      </c>
    </row>
    <row r="15" spans="1:2" ht="15" thickBot="1">
      <c r="A15" s="62" t="s">
        <v>96</v>
      </c>
      <c r="B15" s="63"/>
    </row>
    <row r="16" spans="1:2" ht="43.8" thickBot="1">
      <c r="A16" s="62" t="s">
        <v>97</v>
      </c>
      <c r="B16" s="63" t="s">
        <v>95</v>
      </c>
    </row>
    <row r="17" spans="1:2" ht="15" thickBot="1">
      <c r="A17" s="65"/>
      <c r="B17" s="63"/>
    </row>
    <row r="18" spans="1:2" ht="15" thickBot="1">
      <c r="A18" s="69" t="s">
        <v>98</v>
      </c>
      <c r="B18" s="70"/>
    </row>
    <row r="19" spans="1:2" ht="43.8" thickBot="1">
      <c r="A19" s="62" t="s">
        <v>99</v>
      </c>
      <c r="B19" s="63" t="s">
        <v>140</v>
      </c>
    </row>
    <row r="20" spans="1:2" ht="15" thickBot="1">
      <c r="A20" s="62" t="s">
        <v>101</v>
      </c>
      <c r="B20" s="63" t="s">
        <v>141</v>
      </c>
    </row>
    <row r="21" spans="1:2" ht="33" thickBot="1">
      <c r="A21" s="62" t="s">
        <v>102</v>
      </c>
      <c r="B21" s="72" t="s">
        <v>141</v>
      </c>
    </row>
    <row r="22" spans="1:2" ht="29.4" thickBot="1">
      <c r="A22" s="62" t="s">
        <v>103</v>
      </c>
      <c r="B22" s="63"/>
    </row>
    <row r="23" spans="1:2" ht="15" thickBot="1">
      <c r="A23" s="65"/>
      <c r="B23" s="63"/>
    </row>
    <row r="24" spans="1:2" ht="15" thickBot="1">
      <c r="A24" s="69" t="s">
        <v>104</v>
      </c>
      <c r="B24" s="70"/>
    </row>
    <row r="25" spans="1:2" ht="15" thickBot="1">
      <c r="A25" s="62" t="s">
        <v>105</v>
      </c>
      <c r="B25" s="63"/>
    </row>
    <row r="26" spans="1:2" ht="29.4" thickBot="1">
      <c r="A26" s="62" t="s">
        <v>106</v>
      </c>
      <c r="B26" s="63"/>
    </row>
    <row r="27" spans="1:2" ht="15" thickBot="1">
      <c r="A27" s="62" t="s">
        <v>107</v>
      </c>
      <c r="B27" s="63"/>
    </row>
    <row r="28" spans="1:2" ht="15" thickBot="1">
      <c r="A28" s="62" t="s">
        <v>109</v>
      </c>
      <c r="B28" s="63"/>
    </row>
    <row r="29" spans="1:2" ht="29.4" thickBot="1">
      <c r="A29" s="62" t="s">
        <v>110</v>
      </c>
      <c r="B29" s="63"/>
    </row>
    <row r="30" spans="1:2" ht="15" thickBot="1">
      <c r="A30" s="69" t="s">
        <v>112</v>
      </c>
      <c r="B30" s="70"/>
    </row>
    <row r="31" spans="1:2" ht="29.4" thickBot="1">
      <c r="A31" s="62" t="s">
        <v>113</v>
      </c>
      <c r="B31" s="63"/>
    </row>
    <row r="32" spans="1:2" ht="15" thickBot="1">
      <c r="A32" s="62" t="s">
        <v>114</v>
      </c>
      <c r="B32" s="63"/>
    </row>
    <row r="33" spans="1:2" ht="15" thickBot="1">
      <c r="A33" s="62" t="s">
        <v>115</v>
      </c>
      <c r="B33" s="63"/>
    </row>
    <row r="34" spans="1:2" ht="15" thickBot="1">
      <c r="A34" s="62" t="s">
        <v>116</v>
      </c>
      <c r="B34" s="63"/>
    </row>
    <row r="35" spans="1:2" ht="43.8" thickBot="1">
      <c r="A35" s="62" t="s">
        <v>117</v>
      </c>
      <c r="B35" s="63"/>
    </row>
    <row r="36" spans="1:2" ht="29.4" thickBot="1">
      <c r="A36" s="62" t="s">
        <v>118</v>
      </c>
      <c r="B36" s="63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4D07-B0CC-417A-931C-1F6654A36EFF}">
  <dimension ref="A1:B36"/>
  <sheetViews>
    <sheetView workbookViewId="0">
      <selection activeCell="G3" sqref="G3"/>
    </sheetView>
  </sheetViews>
  <sheetFormatPr baseColWidth="10" defaultRowHeight="13.2"/>
  <cols>
    <col min="1" max="1" width="53.44140625" customWidth="1"/>
    <col min="2" max="2" width="66.88671875" customWidth="1"/>
  </cols>
  <sheetData>
    <row r="1" spans="1:2" ht="63" customHeight="1" thickBot="1">
      <c r="A1" s="67" t="s">
        <v>73</v>
      </c>
      <c r="B1" s="68"/>
    </row>
    <row r="2" spans="1:2" ht="15" thickBot="1">
      <c r="A2" s="69" t="s">
        <v>74</v>
      </c>
      <c r="B2" s="70"/>
    </row>
    <row r="3" spans="1:2" ht="151.80000000000001" thickBot="1">
      <c r="A3" s="62" t="s">
        <v>75</v>
      </c>
      <c r="B3" s="64" t="s">
        <v>15</v>
      </c>
    </row>
    <row r="4" spans="1:2" ht="15" thickBot="1">
      <c r="A4" s="62" t="s">
        <v>76</v>
      </c>
      <c r="B4" s="63" t="s">
        <v>119</v>
      </c>
    </row>
    <row r="5" spans="1:2" ht="15" thickBot="1">
      <c r="A5" s="62" t="s">
        <v>78</v>
      </c>
      <c r="B5" s="63" t="s">
        <v>120</v>
      </c>
    </row>
    <row r="6" spans="1:2" ht="43.8" thickBot="1">
      <c r="A6" s="62" t="s">
        <v>80</v>
      </c>
      <c r="B6" s="63" t="s">
        <v>81</v>
      </c>
    </row>
    <row r="7" spans="1:2" ht="15" thickBot="1">
      <c r="A7" s="69" t="s">
        <v>82</v>
      </c>
      <c r="B7" s="70"/>
    </row>
    <row r="8" spans="1:2" ht="130.19999999999999" thickBot="1">
      <c r="A8" s="62" t="s">
        <v>83</v>
      </c>
      <c r="B8" s="63" t="s">
        <v>121</v>
      </c>
    </row>
    <row r="9" spans="1:2" ht="29.4" thickBot="1">
      <c r="A9" s="62" t="s">
        <v>85</v>
      </c>
      <c r="B9" s="63" t="s">
        <v>122</v>
      </c>
    </row>
    <row r="10" spans="1:2" ht="58.2" thickBot="1">
      <c r="A10" s="62" t="s">
        <v>87</v>
      </c>
      <c r="B10" s="63" t="s">
        <v>123</v>
      </c>
    </row>
    <row r="11" spans="1:2" ht="45" thickBot="1">
      <c r="A11" s="62" t="s">
        <v>89</v>
      </c>
      <c r="B11" s="64" t="s">
        <v>124</v>
      </c>
    </row>
    <row r="12" spans="1:2" ht="43.8" thickBot="1">
      <c r="A12" s="62" t="s">
        <v>91</v>
      </c>
      <c r="B12" s="63" t="s">
        <v>125</v>
      </c>
    </row>
    <row r="13" spans="1:2" ht="15" thickBot="1">
      <c r="A13" s="69" t="s">
        <v>93</v>
      </c>
      <c r="B13" s="70"/>
    </row>
    <row r="14" spans="1:2" ht="29.4" thickBot="1">
      <c r="A14" s="62" t="s">
        <v>94</v>
      </c>
      <c r="B14" s="63" t="s">
        <v>126</v>
      </c>
    </row>
    <row r="15" spans="1:2" ht="15" thickBot="1">
      <c r="A15" s="62" t="s">
        <v>96</v>
      </c>
      <c r="B15" s="63"/>
    </row>
    <row r="16" spans="1:2" ht="43.8" thickBot="1">
      <c r="A16" s="62" t="s">
        <v>97</v>
      </c>
      <c r="B16" s="63"/>
    </row>
    <row r="17" spans="1:2" ht="15" thickBot="1">
      <c r="A17" s="65"/>
      <c r="B17" s="63"/>
    </row>
    <row r="18" spans="1:2" ht="15" thickBot="1">
      <c r="A18" s="69" t="s">
        <v>98</v>
      </c>
      <c r="B18" s="70"/>
    </row>
    <row r="19" spans="1:2" ht="15" thickBot="1">
      <c r="A19" s="62" t="s">
        <v>99</v>
      </c>
      <c r="B19" s="63"/>
    </row>
    <row r="20" spans="1:2" ht="58.2" thickBot="1">
      <c r="A20" s="62" t="s">
        <v>101</v>
      </c>
      <c r="B20" s="63" t="s">
        <v>127</v>
      </c>
    </row>
    <row r="21" spans="1:2" ht="67.8" thickBot="1">
      <c r="A21" s="62" t="s">
        <v>102</v>
      </c>
      <c r="B21" s="64" t="s">
        <v>128</v>
      </c>
    </row>
    <row r="22" spans="1:2" ht="29.4" thickBot="1">
      <c r="A22" s="62" t="s">
        <v>103</v>
      </c>
      <c r="B22" s="63" t="s">
        <v>129</v>
      </c>
    </row>
    <row r="23" spans="1:2" ht="15" thickBot="1">
      <c r="A23" s="65"/>
      <c r="B23" s="63"/>
    </row>
    <row r="24" spans="1:2" ht="15" thickBot="1">
      <c r="A24" s="69" t="s">
        <v>104</v>
      </c>
      <c r="B24" s="70"/>
    </row>
    <row r="25" spans="1:2" ht="15" thickBot="1">
      <c r="A25" s="62" t="s">
        <v>105</v>
      </c>
      <c r="B25" s="63"/>
    </row>
    <row r="26" spans="1:2" ht="29.4" thickBot="1">
      <c r="A26" s="62" t="s">
        <v>106</v>
      </c>
      <c r="B26" s="63"/>
    </row>
    <row r="27" spans="1:2" ht="43.8" thickBot="1">
      <c r="A27" s="62" t="s">
        <v>107</v>
      </c>
      <c r="B27" s="63" t="s">
        <v>130</v>
      </c>
    </row>
    <row r="28" spans="1:2" ht="29.4" thickBot="1">
      <c r="A28" s="62" t="s">
        <v>109</v>
      </c>
      <c r="B28" s="63" t="s">
        <v>131</v>
      </c>
    </row>
    <row r="29" spans="1:2" ht="130.19999999999999" thickBot="1">
      <c r="A29" s="62" t="s">
        <v>110</v>
      </c>
      <c r="B29" s="63" t="s">
        <v>132</v>
      </c>
    </row>
    <row r="30" spans="1:2" ht="15" thickBot="1">
      <c r="A30" s="69" t="s">
        <v>112</v>
      </c>
      <c r="B30" s="70"/>
    </row>
    <row r="31" spans="1:2" ht="29.4" thickBot="1">
      <c r="A31" s="62" t="s">
        <v>113</v>
      </c>
      <c r="B31" s="63"/>
    </row>
    <row r="32" spans="1:2" ht="72.599999999999994" thickBot="1">
      <c r="A32" s="62" t="s">
        <v>114</v>
      </c>
      <c r="B32" s="63" t="s">
        <v>133</v>
      </c>
    </row>
    <row r="33" spans="1:2" ht="15" thickBot="1">
      <c r="A33" s="62" t="s">
        <v>115</v>
      </c>
      <c r="B33" s="63"/>
    </row>
    <row r="34" spans="1:2" ht="15" thickBot="1">
      <c r="A34" s="62" t="s">
        <v>116</v>
      </c>
      <c r="B34" s="63"/>
    </row>
    <row r="35" spans="1:2" ht="43.8" thickBot="1">
      <c r="A35" s="62" t="s">
        <v>117</v>
      </c>
      <c r="B35" s="63"/>
    </row>
    <row r="36" spans="1:2" ht="29.4" thickBot="1">
      <c r="A36" s="62" t="s">
        <v>118</v>
      </c>
      <c r="B36" s="63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</vt:lpstr>
      <vt:lpstr>EMPLEADOS </vt:lpstr>
      <vt:lpstr>Analista</vt:lpstr>
      <vt:lpstr>Analista de software</vt:lpstr>
      <vt:lpstr>Desarrollador</vt:lpstr>
      <vt:lpstr>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Carvajal Roa</dc:creator>
  <cp:lastModifiedBy>Juan David Carvajal Roa</cp:lastModifiedBy>
  <cp:lastPrinted>2026-04-07T22:00:00Z</cp:lastPrinted>
  <dcterms:created xsi:type="dcterms:W3CDTF">2026-04-07T20:25:40Z</dcterms:created>
  <dcterms:modified xsi:type="dcterms:W3CDTF">2026-04-07T22:00:12Z</dcterms:modified>
</cp:coreProperties>
</file>